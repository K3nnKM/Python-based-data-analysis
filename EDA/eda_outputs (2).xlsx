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 PC\Downloads\EDA\"/>
    </mc:Choice>
  </mc:AlternateContent>
  <xr:revisionPtr revIDLastSave="0" documentId="13_ncr:1_{22EE0B5E-6E8A-4A82-9872-AB834B0B3C0E}" xr6:coauthVersionLast="47" xr6:coauthVersionMax="47" xr10:uidLastSave="{00000000-0000-0000-0000-000000000000}"/>
  <bookViews>
    <workbookView xWindow="38295" yWindow="2460" windowWidth="11235" windowHeight="20985" tabRatio="810" firstSheet="13" activeTab="13" xr2:uid="{00000000-000D-0000-FFFF-FFFF00000000}"/>
  </bookViews>
  <sheets>
    <sheet name="crosstab_diagnosis_vs_outcome_c" sheetId="1" r:id="rId1"/>
    <sheet name="crosstab_diagnosis_vs_outcome_p" sheetId="2" r:id="rId2"/>
    <sheet name="crosstab_diagnosis_vs_ward_coun" sheetId="3" r:id="rId3"/>
    <sheet name="crosstab_diagnosis_vs_ward_prop" sheetId="4" r:id="rId4"/>
    <sheet name="crosstab_gender_vs_diagnosis_co" sheetId="5" r:id="rId5"/>
    <sheet name="crosstab_gender_vs_diagnosis_pr" sheetId="6" r:id="rId6"/>
    <sheet name="crosstab_gender_vs_outcome_coun" sheetId="7" r:id="rId7"/>
    <sheet name="crosstab_gender_vs_outcome_prop" sheetId="8" r:id="rId8"/>
    <sheet name="crosstab_gender_vs_ward_counts" sheetId="9" r:id="rId9"/>
    <sheet name="crosstab_gender_vs_ward_props" sheetId="10" r:id="rId10"/>
    <sheet name="crosstab_ward_vs_outcome_counts" sheetId="11" r:id="rId11"/>
    <sheet name="crosstab_ward_vs_outcome_props" sheetId="12" r:id="rId12"/>
    <sheet name="diagnosis_vs_age_aggregate_data" sheetId="13" r:id="rId13"/>
    <sheet name="diagnosis_vs_hb_level_aggregate" sheetId="14" r:id="rId14"/>
    <sheet name="diagnosis_vs_length_of_stay_agg" sheetId="15" r:id="rId15"/>
    <sheet name="diagnosis_vs_systolic_bp_aggreg" sheetId="16" r:id="rId16"/>
    <sheet name="gender_vs_age_aggregate_data" sheetId="17" r:id="rId17"/>
    <sheet name="gender_vs_hb_level_aggregate_da" sheetId="18" r:id="rId18"/>
    <sheet name="gender_vs_length_of_stay_aggreg" sheetId="19" r:id="rId19"/>
    <sheet name="gender_vs_systolic_bp_aggregate" sheetId="20" r:id="rId20"/>
    <sheet name="outcome_vs_age_aggregate_data" sheetId="21" r:id="rId21"/>
    <sheet name="outcome_vs_hb_level_aggregate_d" sheetId="22" r:id="rId22"/>
    <sheet name="outcome_vs_length_of_stay_aggre" sheetId="23" r:id="rId23"/>
    <sheet name="outcome_vs_systolic_bp_aggregat" sheetId="24" r:id="rId24"/>
    <sheet name="Summary_univariate_variables" sheetId="25" r:id="rId25"/>
    <sheet name="ward_vs_age_aggregate_data" sheetId="26" r:id="rId26"/>
    <sheet name="ward_vs_hb_level_aggregate_data" sheetId="27" r:id="rId27"/>
    <sheet name="ward_vs_length_of_stay_aggregat" sheetId="28" r:id="rId28"/>
    <sheet name="ward_vs_systolic_bp_aggregate_d" sheetId="29" r:id="rId29"/>
  </sheets>
  <calcPr calcId="191029"/>
</workbook>
</file>

<file path=xl/calcChain.xml><?xml version="1.0" encoding="utf-8"?>
<calcChain xmlns="http://schemas.openxmlformats.org/spreadsheetml/2006/main">
  <c r="C12" i="14" l="1"/>
  <c r="D12" i="14"/>
  <c r="E12" i="14"/>
  <c r="F12" i="14"/>
  <c r="B12" i="14"/>
  <c r="C12" i="2"/>
  <c r="D12" i="2"/>
  <c r="B12" i="2"/>
  <c r="E12" i="2"/>
</calcChain>
</file>

<file path=xl/sharedStrings.xml><?xml version="1.0" encoding="utf-8"?>
<sst xmlns="http://schemas.openxmlformats.org/spreadsheetml/2006/main" count="343" uniqueCount="42">
  <si>
    <t>diagnosis</t>
  </si>
  <si>
    <t>Deceased</t>
  </si>
  <si>
    <t>Discharged</t>
  </si>
  <si>
    <t>LAMA</t>
  </si>
  <si>
    <t>Referred</t>
  </si>
  <si>
    <t>Acute Kidney Injury</t>
  </si>
  <si>
    <t>Anemia</t>
  </si>
  <si>
    <t>HIV/AIDS</t>
  </si>
  <si>
    <t>Heart Failure</t>
  </si>
  <si>
    <t>Hypertension</t>
  </si>
  <si>
    <t>Malaria</t>
  </si>
  <si>
    <t>Pneumonia</t>
  </si>
  <si>
    <t>Sepsis</t>
  </si>
  <si>
    <t>Tuberculosis</t>
  </si>
  <si>
    <t>Type 2 Diabetes</t>
  </si>
  <si>
    <t>ICU</t>
  </si>
  <si>
    <t>Maternity</t>
  </si>
  <si>
    <t>Medical</t>
  </si>
  <si>
    <t>Pediatric</t>
  </si>
  <si>
    <t>Surgical</t>
  </si>
  <si>
    <t>gender</t>
  </si>
  <si>
    <t>Female</t>
  </si>
  <si>
    <t>Male</t>
  </si>
  <si>
    <t>Unknown</t>
  </si>
  <si>
    <t>ward</t>
  </si>
  <si>
    <t>median</t>
  </si>
  <si>
    <t>mean</t>
  </si>
  <si>
    <t>count</t>
  </si>
  <si>
    <t>min</t>
  </si>
  <si>
    <t>max</t>
  </si>
  <si>
    <t>outcome</t>
  </si>
  <si>
    <t>age</t>
  </si>
  <si>
    <t>length_of_stay</t>
  </si>
  <si>
    <t>systolic_bp</t>
  </si>
  <si>
    <t>hb_level</t>
  </si>
  <si>
    <t>std</t>
  </si>
  <si>
    <t xml:space="preserve">25%IQR </t>
  </si>
  <si>
    <t>50% IQR</t>
  </si>
  <si>
    <t>75% IQR</t>
  </si>
  <si>
    <t>t</t>
  </si>
  <si>
    <t>average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</si>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</sst>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9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D6940-98BE-40BD-8565-2EFDBA5B3D51}" name="Table1" displayName="Table1" ref="A1:E11" totalsRowShown="0" headerRowDxfId="90" headerRowBorderDxfId="89" tableBorderDxfId="88">
  <autoFilter ref="A1:E11" xr:uid="{B78D6940-98BE-40BD-8565-2EFDBA5B3D51}"/>
  <tableColumns count="5">
    <tableColumn id="1" xr3:uid="{E85E2CC1-5F08-4BA4-A3D3-B1AD07C56B3F}" name="diagnosis"/>
    <tableColumn id="2" xr3:uid="{8BEAADB2-A50D-45B8-AFEF-986023890B3E}" name="Deceased"/>
    <tableColumn id="3" xr3:uid="{5421A665-C3CC-4B01-9B1C-D39C629B349A}" name="Discharged"/>
    <tableColumn id="4" xr3:uid="{22120CA2-F647-4A09-9B79-B58EDB937D95}" name="LAMA"/>
    <tableColumn id="5" xr3:uid="{5F41F956-2F0A-4997-8C49-BCED305578E9}" name="Referr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E17FE-BD64-452C-B4C8-9A43D30A3191}" name="Table2" displayName="Table2" ref="A1:E12" totalsRowShown="0" headerRowDxfId="87" headerRowBorderDxfId="86" tableBorderDxfId="85">
  <autoFilter ref="A1:E12" xr:uid="{8DDE17FE-BD64-452C-B4C8-9A43D30A3191}"/>
  <tableColumns count="5">
    <tableColumn id="1" xr3:uid="{C3FBE229-DC59-4C27-8113-5FB864575B8B}" name="diagnosis"/>
    <tableColumn id="2" xr3:uid="{6F2F76BF-58C3-4524-97A3-E308CDD72363}" name="Deceased" dataDxfId="3" dataCellStyle="Percent"/>
    <tableColumn id="3" xr3:uid="{390A5286-5D80-47E2-AB21-3E41493EE540}" name="Discharged" dataDxfId="2" dataCellStyle="Percent"/>
    <tableColumn id="4" xr3:uid="{4E1D25EB-735F-4C8A-9370-A354DA08E572}" name="LAMA" dataDxfId="1" dataCellStyle="Percent"/>
    <tableColumn id="5" xr3:uid="{6F9A9378-56E6-4FFC-A12C-AD3D23BCA7D5}" name="Referred" dataDxfId="0" dataCellStyle="Perc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A4901A-5278-43E0-AF94-2668EDD5965B}" name="Table3" displayName="Table3" ref="A1:F11" totalsRowShown="0" headerRowDxfId="84" headerRowBorderDxfId="83" tableBorderDxfId="82">
  <autoFilter ref="A1:F11" xr:uid="{5DA4901A-5278-43E0-AF94-2668EDD5965B}"/>
  <tableColumns count="6">
    <tableColumn id="1" xr3:uid="{8EABFEA7-8D6F-46AC-9480-742BFA244205}" name="diagnosis"/>
    <tableColumn id="2" xr3:uid="{54F19C84-C035-4EE1-AFF3-A8DE930DBD91}" name="ICU"/>
    <tableColumn id="3" xr3:uid="{A0CB9095-0917-4DF9-8B6B-0A021C1B803A}" name="Maternity"/>
    <tableColumn id="4" xr3:uid="{0C70218F-FDDC-493A-AC2D-3EB4429D8D1A}" name="Medical"/>
    <tableColumn id="5" xr3:uid="{E93A1908-ACEE-470C-95F2-400212A0C8A8}" name="Pediatric"/>
    <tableColumn id="6" xr3:uid="{752997AE-DDD3-4BE3-B1BA-FEB4BA693F3E}" name="Surgic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323463-DD68-4755-A41B-AE8437A245F2}" name="Table4" displayName="Table4" ref="A1:F11" totalsRowShown="0" headerRowDxfId="81" headerRowBorderDxfId="80" tableBorderDxfId="79">
  <autoFilter ref="A1:F11" xr:uid="{9B323463-DD68-4755-A41B-AE8437A245F2}"/>
  <tableColumns count="6">
    <tableColumn id="1" xr3:uid="{8D3C29A5-7622-488C-9E9C-97FD869F054E}" name="diagnosis"/>
    <tableColumn id="2" xr3:uid="{C00343B1-9DFE-4BD8-B7C5-A3EC4925DF3E}" name="ICU"/>
    <tableColumn id="3" xr3:uid="{D5E0BC46-1A3A-481D-9BB4-36804568C63A}" name="Maternity"/>
    <tableColumn id="4" xr3:uid="{7C0049F1-C60E-4BBE-BA7C-9850982B4A63}" name="Medical"/>
    <tableColumn id="5" xr3:uid="{97C92772-E1C5-4370-A76E-939AC7759171}" name="Pediatric"/>
    <tableColumn id="6" xr3:uid="{4FB75E35-B9B8-4200-AE52-3D2513E5420C}" name="Surgica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99B99F-7ABD-4E25-9895-FF2F2A180F03}" name="Table5" displayName="Table5" ref="A1:K4" totalsRowShown="0" headerRowDxfId="78" headerRowBorderDxfId="77" tableBorderDxfId="76">
  <autoFilter ref="A1:K4" xr:uid="{1699B99F-7ABD-4E25-9895-FF2F2A180F03}"/>
  <tableColumns count="11">
    <tableColumn id="1" xr3:uid="{9310E858-700D-486D-B67D-6AA13C18EE5B}" name="gender"/>
    <tableColumn id="2" xr3:uid="{3C98D540-33AB-427F-8CC4-303B36DF5AB1}" name="Acute Kidney Injury"/>
    <tableColumn id="3" xr3:uid="{46069C18-8C18-4FCB-9864-FC898893EC49}" name="Anemia"/>
    <tableColumn id="4" xr3:uid="{39CEF091-DCA2-4306-88F7-30D04C507939}" name="HIV/AIDS"/>
    <tableColumn id="5" xr3:uid="{76587F16-2F37-401B-B477-969C151401D4}" name="Heart Failure"/>
    <tableColumn id="6" xr3:uid="{939DA3AD-7471-40C6-B42D-46E424AA5703}" name="Hypertension"/>
    <tableColumn id="7" xr3:uid="{E0A8F0D1-F4DB-49B1-8FDB-BE1D2BCB5144}" name="Malaria"/>
    <tableColumn id="8" xr3:uid="{C09C9993-FD3E-4F8F-92C2-681820B1D0DA}" name="Pneumonia"/>
    <tableColumn id="9" xr3:uid="{99C241BE-D9CC-434E-AF2C-7CC931F1C3CD}" name="Sepsis"/>
    <tableColumn id="10" xr3:uid="{EF85A318-45A8-4AB0-995F-011007315659}" name="Tuberculosis"/>
    <tableColumn id="11" xr3:uid="{BA3CA001-4246-44AF-92AA-9BFBE53F41E7}" name="Type 2 Diabe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645837-FB67-4F0F-BC14-CDCFADA871D9}" name="Table6" displayName="Table6" ref="A1:K4" totalsRowShown="0" headerRowDxfId="75" headerRowBorderDxfId="74" tableBorderDxfId="73">
  <autoFilter ref="A1:K4" xr:uid="{E2645837-FB67-4F0F-BC14-CDCFADA871D9}"/>
  <tableColumns count="11">
    <tableColumn id="1" xr3:uid="{38156301-6F8B-4E3E-8A63-CBAD99B4041A}" name="gender"/>
    <tableColumn id="2" xr3:uid="{A45A0CAF-136D-4718-99CA-CABC67CF4349}" name="Acute Kidney Injury"/>
    <tableColumn id="3" xr3:uid="{7405B7BD-C2D0-47AD-8A5B-918F1784CFE6}" name="Anemia"/>
    <tableColumn id="4" xr3:uid="{A3450794-FB21-4050-8CBA-A27A1B79E258}" name="HIV/AIDS"/>
    <tableColumn id="5" xr3:uid="{2865146A-37BF-4C73-8BF0-C4ED57E7DB93}" name="Heart Failure"/>
    <tableColumn id="6" xr3:uid="{7D87DD98-1203-4BE9-899F-19E2AF17CE68}" name="Hypertension"/>
    <tableColumn id="7" xr3:uid="{9C09A25E-4ED5-4DAC-9C4C-A4D9A3FF3A6E}" name="Malaria"/>
    <tableColumn id="8" xr3:uid="{FF432651-873E-4602-9411-23E9EC2C44E4}" name="Pneumonia"/>
    <tableColumn id="9" xr3:uid="{FBB8CD38-D1C0-4FF9-8655-E489C2CD4C3A}" name="Sepsis"/>
    <tableColumn id="10" xr3:uid="{DCDB37B9-FEF4-4627-94E2-2C8AEF02E049}" name="Tuberculosis"/>
    <tableColumn id="11" xr3:uid="{0C809C98-117D-4438-9E62-178583C67922}" name="Type 2 Diabe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E8B81E-C2A3-40A7-9AA2-418031DCCCCC}" name="Table7" displayName="Table7" ref="A1:E4" totalsRowShown="0" headerRowDxfId="72" headerRowBorderDxfId="71" tableBorderDxfId="70">
  <autoFilter ref="A1:E4" xr:uid="{DFE8B81E-C2A3-40A7-9AA2-418031DCCCCC}"/>
  <tableColumns count="5">
    <tableColumn id="1" xr3:uid="{B63F666A-2310-4080-8AF4-235693F0E95A}" name="gender"/>
    <tableColumn id="2" xr3:uid="{9B984258-2E52-4584-9812-BA63E0997BFC}" name="Deceased"/>
    <tableColumn id="3" xr3:uid="{A43C3DC1-2E97-4E07-8F77-9F9C66AB7AD5}" name="Discharged"/>
    <tableColumn id="4" xr3:uid="{D34698BE-16C6-45E8-A985-716A49BDD420}" name="LAMA"/>
    <tableColumn id="5" xr3:uid="{B48B0E95-6AB8-4D22-95A6-B4C1F5DC10CF}" name="Referre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C1B5F5-D241-465B-8F4A-63197B641732}" name="Table8" displayName="Table8" ref="A1:E4" totalsRowShown="0" headerRowDxfId="69" headerRowBorderDxfId="68" tableBorderDxfId="67">
  <autoFilter ref="A1:E4" xr:uid="{3FC1B5F5-D241-465B-8F4A-63197B641732}"/>
  <tableColumns count="5">
    <tableColumn id="1" xr3:uid="{17E6A643-4DE1-465F-BAB4-E8AB6A919471}" name="gender"/>
    <tableColumn id="2" xr3:uid="{5624F694-2CD7-4A4E-B296-0B5B66F6ACE1}" name="Deceased"/>
    <tableColumn id="3" xr3:uid="{1E94F3DF-8622-49F7-8C63-00D0B22F23AD}" name="Discharged"/>
    <tableColumn id="4" xr3:uid="{60035EC6-DDFC-4F19-87A2-CB4FC9C43258}" name="LAMA"/>
    <tableColumn id="5" xr3:uid="{D6C84D9B-56DD-45A7-887B-7733206A9C78}" name="Referre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DAE08A-9B51-4942-8474-8A57CA5546A9}" name="Table9" displayName="Table9" ref="A1:F4" totalsRowShown="0" headerRowDxfId="66" headerRowBorderDxfId="65" tableBorderDxfId="64">
  <autoFilter ref="A1:F4" xr:uid="{7FDAE08A-9B51-4942-8474-8A57CA5546A9}"/>
  <tableColumns count="6">
    <tableColumn id="1" xr3:uid="{FD35D00C-A2AD-4028-A89A-E9636712DAC2}" name="gender"/>
    <tableColumn id="2" xr3:uid="{4E39F495-A38C-48DC-ADD0-6D98C9B45BEB}" name="ICU"/>
    <tableColumn id="3" xr3:uid="{51958024-038C-4838-8854-B5714B6C9887}" name="Maternity"/>
    <tableColumn id="4" xr3:uid="{B5F506A1-762E-4D99-9167-9618D56650BD}" name="Medical"/>
    <tableColumn id="5" xr3:uid="{E4CFF9BA-0492-4A4F-8544-714F211BB8A2}" name="Pediatric"/>
    <tableColumn id="6" xr3:uid="{65743558-657F-4465-A06A-122F36D9F1C8}" name="Surgica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6D039F-BEA7-41DC-8610-7ED3218BBE05}" name="Table10" displayName="Table10" ref="A1:F4" totalsRowShown="0" headerRowDxfId="63" headerRowBorderDxfId="62" tableBorderDxfId="61">
  <autoFilter ref="A1:F4" xr:uid="{2B6D039F-BEA7-41DC-8610-7ED3218BBE05}"/>
  <tableColumns count="6">
    <tableColumn id="1" xr3:uid="{5040743F-EA53-43DC-AE21-57F1DEC7070C}" name="gender"/>
    <tableColumn id="2" xr3:uid="{2734C0BB-CEFA-4C12-BBC3-734277E595DB}" name="ICU"/>
    <tableColumn id="3" xr3:uid="{24D29124-9366-44DF-A303-7C3C00358F5D}" name="Maternity"/>
    <tableColumn id="4" xr3:uid="{190BE130-E864-42AE-B687-B478D359176B}" name="Medical"/>
    <tableColumn id="5" xr3:uid="{846172AA-C3EC-4D5A-B9F7-B9568A461575}" name="Pediatric"/>
    <tableColumn id="6" xr3:uid="{CBE57326-0BE7-433F-B845-2AEF1A08F5C4}" name="Surgical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1D26F9-68DF-4602-B1AB-74390566547E}" name="Table11" displayName="Table11" ref="A1:E6" totalsRowShown="0" headerRowDxfId="60" headerRowBorderDxfId="59" tableBorderDxfId="58">
  <autoFilter ref="A1:E6" xr:uid="{151D26F9-68DF-4602-B1AB-74390566547E}"/>
  <tableColumns count="5">
    <tableColumn id="1" xr3:uid="{2B34875C-C83C-4240-9297-96E1886FC67A}" name="ward"/>
    <tableColumn id="2" xr3:uid="{3AB10549-F13F-4C58-99AF-3A26048C066C}" name="Deceased"/>
    <tableColumn id="3" xr3:uid="{99C97C54-3404-4A98-AA19-81C242786F24}" name="Discharged"/>
    <tableColumn id="4" xr3:uid="{748D1062-2CAD-4E9C-99EE-51E43C0FEA7C}" name="LAMA"/>
    <tableColumn id="5" xr3:uid="{04827156-994D-45A9-A7D2-CBD9EFA0315D}" name="Referred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D8CB9F5-B4C4-4C11-9F28-9F60CCDA5E82}" name="Table12" displayName="Table12" ref="A1:E6" totalsRowShown="0" headerRowDxfId="57" headerRowBorderDxfId="56" tableBorderDxfId="55">
  <autoFilter ref="A1:E6" xr:uid="{5D8CB9F5-B4C4-4C11-9F28-9F60CCDA5E82}"/>
  <tableColumns count="5">
    <tableColumn id="1" xr3:uid="{DDC52C0E-BB6B-415A-A2DA-E9D4217DDF26}" name="ward"/>
    <tableColumn id="2" xr3:uid="{86357A01-24A6-48CD-A0C8-489178E9C48B}" name="Deceased"/>
    <tableColumn id="3" xr3:uid="{98187A54-6EB2-40D2-93ED-E35BD63073DF}" name="Discharged"/>
    <tableColumn id="4" xr3:uid="{44C0646A-A078-4252-9496-405547723C23}" name="LAMA"/>
    <tableColumn id="5" xr3:uid="{84A08DB1-7357-4261-9DE8-2DB6856AB342}" name="Referred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E63E92-9D1C-4C2A-95ED-CC6991CF2F4F}" name="Table13" displayName="Table13" ref="A1:F11" totalsRowShown="0" headerRowDxfId="54" headerRowBorderDxfId="53" tableBorderDxfId="52">
  <autoFilter ref="A1:F11" xr:uid="{ADE63E92-9D1C-4C2A-95ED-CC6991CF2F4F}"/>
  <tableColumns count="6">
    <tableColumn id="1" xr3:uid="{F554A61F-C0D3-4452-AFA3-D171A41061E3}" name="diagnosis"/>
    <tableColumn id="2" xr3:uid="{A1C2B365-834F-49C1-839B-DF4A50D34DEA}" name="median"/>
    <tableColumn id="3" xr3:uid="{14060616-5968-4434-9CFC-7AF81C0EE138}" name="mean"/>
    <tableColumn id="4" xr3:uid="{5CB3B80D-B8C6-4289-85D9-516BFD444B7A}" name="count"/>
    <tableColumn id="5" xr3:uid="{09142EB5-B035-4919-BA48-BA4763D509D3}" name="min"/>
    <tableColumn id="6" xr3:uid="{827B7A72-5B9A-44DC-A520-87D5BA4325D9}" name="max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4395397-ADD0-4D08-9847-086B77E47C91}" name="Table14" displayName="Table14" ref="A1:F12" totalsRowShown="0" headerRowDxfId="51" headerRowBorderDxfId="50" tableBorderDxfId="49">
  <autoFilter ref="A1:F12" xr:uid="{54395397-ADD0-4D08-9847-086B77E47C91}"/>
  <tableColumns count="6">
    <tableColumn id="1" xr3:uid="{A75AA682-D23B-4DAA-9B92-C6FE7EDF5A41}" name="diagnosis"/>
    <tableColumn id="2" xr3:uid="{0B841D50-86B9-401B-9505-6EF6A955FEE4}" name="median"/>
    <tableColumn id="3" xr3:uid="{8B1BD86C-B87B-4BE6-A9B7-B420D4B66D7A}" name="mean"/>
    <tableColumn id="4" xr3:uid="{3A142FED-F422-49D8-B24B-63D242CB946C}" name="count"/>
    <tableColumn id="5" xr3:uid="{648854C9-7E39-463E-8614-FBE33365465B}" name="min"/>
    <tableColumn id="6" xr3:uid="{C8F8F2C9-2B17-4B2D-97F3-FCB3F0C929BE}" name="max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94D721-2ACD-486A-ABC6-62CB69AD43D2}" name="Table15" displayName="Table15" ref="A1:F11" totalsRowShown="0" headerRowDxfId="48" headerRowBorderDxfId="47" tableBorderDxfId="46">
  <autoFilter ref="A1:F11" xr:uid="{C394D721-2ACD-486A-ABC6-62CB69AD43D2}"/>
  <tableColumns count="6">
    <tableColumn id="1" xr3:uid="{EFE0B576-4396-4329-BAB5-ECDB36F29A02}" name="diagnosis"/>
    <tableColumn id="2" xr3:uid="{052D8709-EE5A-4073-B2D8-B195A4C73B1D}" name="median"/>
    <tableColumn id="3" xr3:uid="{2317F402-DB1F-4AAF-9D0B-FF9BC629489B}" name="mean"/>
    <tableColumn id="4" xr3:uid="{409CD493-2573-4417-8F86-C6ED3C01CAAB}" name="count"/>
    <tableColumn id="5" xr3:uid="{9CBF796A-8083-41D6-9653-3D2F94308589}" name="min"/>
    <tableColumn id="6" xr3:uid="{59817A04-71E9-4113-A721-82AF4670CDFE}" name="max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9B2818-79DC-4D48-A250-3D9C0E2D706B}" name="Table16" displayName="Table16" ref="A1:F11" totalsRowShown="0" headerRowDxfId="45" headerRowBorderDxfId="44" tableBorderDxfId="43">
  <autoFilter ref="A1:F11" xr:uid="{959B2818-79DC-4D48-A250-3D9C0E2D706B}"/>
  <tableColumns count="6">
    <tableColumn id="1" xr3:uid="{70AA52DE-0B6F-4A73-B673-EAEB168439DE}" name="diagnosis"/>
    <tableColumn id="2" xr3:uid="{D0137EE7-4026-44AC-847D-66D5EFF8E108}" name="median"/>
    <tableColumn id="3" xr3:uid="{7F308F75-12A0-4A13-A3BE-228C1D38B95C}" name="mean"/>
    <tableColumn id="4" xr3:uid="{CFB7DC6A-2FE4-4BCB-86FA-42F42392341B}" name="count"/>
    <tableColumn id="5" xr3:uid="{6E4AC669-07FE-48DA-8371-C56B1BD852CB}" name="min"/>
    <tableColumn id="6" xr3:uid="{B87106DC-4786-4BD4-9D08-70FDF516AE78}" name="max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187E9EB-0DBE-43CC-A1A9-27F4AB74FC26}" name="Table17" displayName="Table17" ref="A1:F4" totalsRowShown="0" headerRowDxfId="42" headerRowBorderDxfId="41" tableBorderDxfId="40">
  <autoFilter ref="A1:F4" xr:uid="{7187E9EB-0DBE-43CC-A1A9-27F4AB74FC26}"/>
  <tableColumns count="6">
    <tableColumn id="1" xr3:uid="{00590FD5-9DD5-461F-8E6E-3F83CF8D3B07}" name="gender"/>
    <tableColumn id="2" xr3:uid="{593CFA42-D6AC-49A2-9995-495604C6D5E9}" name="median"/>
    <tableColumn id="3" xr3:uid="{96270982-5001-47E1-8373-632261ECDFC0}" name="mean"/>
    <tableColumn id="4" xr3:uid="{70679DAD-0CFE-4175-8481-E9ABC3DD703B}" name="count"/>
    <tableColumn id="5" xr3:uid="{513A2751-7C46-4C7E-AC80-091FCECD8061}" name="min"/>
    <tableColumn id="6" xr3:uid="{1670577B-AF37-4D95-A073-81D12535A957}" name="max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5C36646-6BDD-408B-A03F-5C48A7B6E96A}" name="Table18" displayName="Table18" ref="A1:F4" totalsRowShown="0" headerRowDxfId="39" headerRowBorderDxfId="38" tableBorderDxfId="37">
  <autoFilter ref="A1:F4" xr:uid="{45C36646-6BDD-408B-A03F-5C48A7B6E96A}"/>
  <tableColumns count="6">
    <tableColumn id="1" xr3:uid="{8B493887-5F2C-4322-9AA1-37A02A2BFF69}" name="gender"/>
    <tableColumn id="2" xr3:uid="{D93FE635-A365-4567-B24B-34B3D01F9940}" name="median"/>
    <tableColumn id="3" xr3:uid="{9083D9A9-787A-42B5-86A6-224FC3DB198E}" name="mean"/>
    <tableColumn id="4" xr3:uid="{9B3E017B-39A4-4B1F-8E84-48F601DE0808}" name="count"/>
    <tableColumn id="5" xr3:uid="{C01FD417-CC04-4730-ABB6-9AC641699929}" name="min"/>
    <tableColumn id="6" xr3:uid="{F24420F9-718F-49AF-9045-15293407A1D8}" name="max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A82FC2D-D5BB-4C1A-89D1-40566FDE3D57}" name="Table19" displayName="Table19" ref="A1:F4" totalsRowShown="0" headerRowDxfId="36" headerRowBorderDxfId="35" tableBorderDxfId="34">
  <autoFilter ref="A1:F4" xr:uid="{1A82FC2D-D5BB-4C1A-89D1-40566FDE3D57}"/>
  <tableColumns count="6">
    <tableColumn id="1" xr3:uid="{2D2F39E7-CA93-4A35-A975-86CF49687603}" name="gender"/>
    <tableColumn id="2" xr3:uid="{0079E0DD-0416-4940-915E-678F6C8C6279}" name="median"/>
    <tableColumn id="3" xr3:uid="{5045EEB2-3DA9-40FA-B80C-DEC4E15DB605}" name="mean"/>
    <tableColumn id="4" xr3:uid="{17CD8B4C-EB83-48B4-89D1-46E6B0664038}" name="count"/>
    <tableColumn id="5" xr3:uid="{191C34D0-A3F7-4627-B00E-E5B5FE829A22}" name="min"/>
    <tableColumn id="6" xr3:uid="{E0E5FF69-3A21-4CC6-80AE-6364E918B361}" name="max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7852D7F-7278-457A-98F0-2363985101C7}" name="Table20" displayName="Table20" ref="A1:F4" totalsRowShown="0" headerRowDxfId="33" headerRowBorderDxfId="32" tableBorderDxfId="31">
  <autoFilter ref="A1:F4" xr:uid="{27852D7F-7278-457A-98F0-2363985101C7}"/>
  <tableColumns count="6">
    <tableColumn id="1" xr3:uid="{3E19ABA6-42F8-4257-B0FD-30AC140AB3F4}" name="gender"/>
    <tableColumn id="2" xr3:uid="{F7317671-A5F7-4FEB-A324-005DDFA130C0}" name="median"/>
    <tableColumn id="3" xr3:uid="{E6A7356D-453D-4912-94A8-673EAEF3DC44}" name="mean"/>
    <tableColumn id="4" xr3:uid="{710E2C3E-C920-4E40-83C4-9B63225DB061}" name="count"/>
    <tableColumn id="5" xr3:uid="{97A121FF-6535-4C3F-81E0-46C8B17F1BEB}" name="min"/>
    <tableColumn id="6" xr3:uid="{5250B1AE-C9BC-4B93-ABD1-F91DEBA3D7BC}" name="max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7114B76-66C2-4512-8540-DB743952DCB1}" name="Table21" displayName="Table21" ref="A1:F5" totalsRowShown="0" headerRowDxfId="30" headerRowBorderDxfId="29" tableBorderDxfId="28">
  <autoFilter ref="A1:F5" xr:uid="{C7114B76-66C2-4512-8540-DB743952DCB1}"/>
  <tableColumns count="6">
    <tableColumn id="1" xr3:uid="{E4B27D79-F5DD-46A4-A8A2-CD1F6CF63C1D}" name="outcome"/>
    <tableColumn id="2" xr3:uid="{43950C2E-7899-4F70-A9A4-0C2C815D7CF3}" name="median"/>
    <tableColumn id="3" xr3:uid="{AA2043E9-D7E3-4010-B46B-62818DBE4246}" name="mean"/>
    <tableColumn id="4" xr3:uid="{01678A7F-C691-476D-A079-F07019EA802A}" name="count"/>
    <tableColumn id="5" xr3:uid="{709958BD-747B-468A-88B8-F6777CC53423}" name="min"/>
    <tableColumn id="6" xr3:uid="{1978C421-825C-4AA4-AD17-3414E562C674}" name="max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21FB8E2-25BC-4DD4-8D3F-7A35C5620EDB}" name="Table22" displayName="Table22" ref="A1:F5" totalsRowShown="0" headerRowDxfId="27" headerRowBorderDxfId="26" tableBorderDxfId="25">
  <autoFilter ref="A1:F5" xr:uid="{321FB8E2-25BC-4DD4-8D3F-7A35C5620EDB}"/>
  <tableColumns count="6">
    <tableColumn id="1" xr3:uid="{01A48638-DE5F-4C5E-8FF3-30BCFE47CF48}" name="outcome"/>
    <tableColumn id="2" xr3:uid="{8047CA69-5A49-4888-82EF-5978BE9A833A}" name="median"/>
    <tableColumn id="3" xr3:uid="{E8CA87F7-08A5-4949-8899-DD9460CA9CB3}" name="mean"/>
    <tableColumn id="4" xr3:uid="{D42337C2-6996-4D2D-8990-C707C5DA9E87}" name="count"/>
    <tableColumn id="5" xr3:uid="{54F571F1-E22B-4936-B5CE-0359951FA95A}" name="min"/>
    <tableColumn id="6" xr3:uid="{9DE6E647-D2D9-45FB-94C0-EF42552C5E82}" name="max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DEAE2D5-A179-42D4-924A-DE49869D5B34}" name="Table23" displayName="Table23" ref="A1:F5" totalsRowShown="0" headerRowDxfId="24" headerRowBorderDxfId="23" tableBorderDxfId="22">
  <autoFilter ref="A1:F5" xr:uid="{8DEAE2D5-A179-42D4-924A-DE49869D5B34}"/>
  <tableColumns count="6">
    <tableColumn id="1" xr3:uid="{185BC7A6-5409-45FB-9497-42210E1BD839}" name="outcome"/>
    <tableColumn id="2" xr3:uid="{82B6B5C3-5243-48C0-99A6-FB3863E3E5EB}" name="median"/>
    <tableColumn id="3" xr3:uid="{CF159208-F6E4-41B2-8841-CF5FDED20FA6}" name="mean"/>
    <tableColumn id="4" xr3:uid="{F3BC8602-F0D4-45F6-899A-340FB215A60B}" name="count"/>
    <tableColumn id="5" xr3:uid="{F109F994-4F57-443A-90A9-FAA3F81A65AB}" name="min"/>
    <tableColumn id="6" xr3:uid="{9820E1E7-A609-418E-91B7-E128F848831C}" name="max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915B0E3-3A52-4952-A114-72AC95FE21F4}" name="Table24" displayName="Table24" ref="A1:F5" totalsRowShown="0" headerRowDxfId="21" headerRowBorderDxfId="20" tableBorderDxfId="19">
  <autoFilter ref="A1:F5" xr:uid="{C915B0E3-3A52-4952-A114-72AC95FE21F4}"/>
  <tableColumns count="6">
    <tableColumn id="1" xr3:uid="{12CF960B-BB96-439F-B84E-8A996B787426}" name="outcome"/>
    <tableColumn id="2" xr3:uid="{C2288BB8-9CEA-4FA9-BCC3-46FA5356E95C}" name="median"/>
    <tableColumn id="3" xr3:uid="{AEE9D266-D1EF-47B7-80AE-30433A393E07}" name="mean"/>
    <tableColumn id="4" xr3:uid="{95D7FE93-EB68-47AC-9237-7D1311570CE0}" name="count"/>
    <tableColumn id="5" xr3:uid="{03087CF5-5AD4-4D69-8FD9-F739CE9AB5D6}" name="min"/>
    <tableColumn id="6" xr3:uid="{537AB8E0-AEB3-4BB6-B9D3-8A76A680BA6A}" name="max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3438951-8D50-4DBC-873E-26CCE67090DA}" name="Table25" displayName="Table25" ref="A1:E9" totalsRowShown="0" headerRowDxfId="18" headerRowBorderDxfId="17" tableBorderDxfId="16">
  <autoFilter ref="A1:E9" xr:uid="{73438951-8D50-4DBC-873E-26CCE67090DA}"/>
  <tableColumns count="5">
    <tableColumn id="1" xr3:uid="{F0CCA487-E486-41D2-B462-D73DA5BF0B36}" name="t"/>
    <tableColumn id="2" xr3:uid="{34969802-2543-4D3A-B7BF-7F9344CE38F3}" name="age"/>
    <tableColumn id="3" xr3:uid="{516475C3-FFA8-48B6-9C80-726ED9091F84}" name="length_of_stay"/>
    <tableColumn id="4" xr3:uid="{B85AE7B4-4C82-48B7-AA79-3B2F342334A8}" name="systolic_bp"/>
    <tableColumn id="5" xr3:uid="{7C3E1BF4-ED85-44B2-9BE6-B5174F5B74DB}" name="hb_level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D543A7B-5297-41A1-84B9-B0C03343BB9F}" name="Table26" displayName="Table26" ref="A1:F6" totalsRowShown="0" headerRowDxfId="15" headerRowBorderDxfId="14" tableBorderDxfId="13">
  <autoFilter ref="A1:F6" xr:uid="{BD543A7B-5297-41A1-84B9-B0C03343BB9F}"/>
  <tableColumns count="6">
    <tableColumn id="1" xr3:uid="{9822F71F-BA17-4A1D-BB0C-627AEA6C8FCB}" name="ward"/>
    <tableColumn id="2" xr3:uid="{A67843AA-4780-4F5F-847D-4E9A79CAB9F3}" name="median"/>
    <tableColumn id="3" xr3:uid="{1CD78BDD-3278-402E-8160-9334D8CF1DEE}" name="mean"/>
    <tableColumn id="4" xr3:uid="{B91B3C94-788D-4360-B4BF-886BB4C784F7}" name="count"/>
    <tableColumn id="5" xr3:uid="{66E14574-4384-498B-BC57-582FE0C4BB0D}" name="min"/>
    <tableColumn id="6" xr3:uid="{66F27C01-6479-430A-AAA3-BBF9AB351EF2}" name="max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23A6135-1706-49FF-B76C-428483522579}" name="Table27" displayName="Table27" ref="A1:F6" totalsRowShown="0" headerRowDxfId="12" headerRowBorderDxfId="11" tableBorderDxfId="10">
  <autoFilter ref="A1:F6" xr:uid="{423A6135-1706-49FF-B76C-428483522579}"/>
  <tableColumns count="6">
    <tableColumn id="1" xr3:uid="{56E801C5-0513-4DEE-A495-11A73432EF4D}" name="ward"/>
    <tableColumn id="2" xr3:uid="{25D344C7-D487-4EF8-BB18-68B55984C107}" name="median"/>
    <tableColumn id="3" xr3:uid="{3C7B9488-20D4-4BF3-9045-02BDF1AB64DC}" name="mean"/>
    <tableColumn id="4" xr3:uid="{DA9D209D-C26D-42B3-9612-95342FA3CD78}" name="count"/>
    <tableColumn id="5" xr3:uid="{00361145-730E-4150-B592-0FCA8A43B8DF}" name="min"/>
    <tableColumn id="6" xr3:uid="{EE3900F8-83D4-421D-ADC5-870D2D7CFCE6}" name="max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D9F4889-ACB5-43B9-8DDE-BCBFA606790B}" name="Table28" displayName="Table28" ref="A1:F6" totalsRowShown="0" headerRowDxfId="9" headerRowBorderDxfId="8" tableBorderDxfId="7">
  <autoFilter ref="A1:F6" xr:uid="{AD9F4889-ACB5-43B9-8DDE-BCBFA606790B}"/>
  <tableColumns count="6">
    <tableColumn id="1" xr3:uid="{1F3491F5-FEE7-4CF9-B15E-43C2B5487243}" name="ward"/>
    <tableColumn id="2" xr3:uid="{E6956353-F919-4F09-B1E4-AE7C7D8A3528}" name="median"/>
    <tableColumn id="3" xr3:uid="{55DEBE2A-E165-4F02-BC47-A8F9A50A8B3C}" name="mean"/>
    <tableColumn id="4" xr3:uid="{0EFF838E-459A-41C9-9E46-501583FDAE4E}" name="count"/>
    <tableColumn id="5" xr3:uid="{B4A85DEE-500C-436E-83B5-3BF2F7FD9244}" name="min"/>
    <tableColumn id="6" xr3:uid="{208ADD2A-4033-4CD2-AE73-F745E80FCABF}" name="max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523BAAF-DA4B-4D5B-A169-C26B96CF1701}" name="Table29" displayName="Table29" ref="A1:F6" totalsRowShown="0" headerRowDxfId="6" headerRowBorderDxfId="5" tableBorderDxfId="4">
  <autoFilter ref="A1:F6" xr:uid="{A523BAAF-DA4B-4D5B-A169-C26B96CF1701}"/>
  <tableColumns count="6">
    <tableColumn id="1" xr3:uid="{57D3622D-D985-49EF-95D2-3C7882685FD0}" name="ward"/>
    <tableColumn id="2" xr3:uid="{8E31B746-1301-45BC-8C65-0E7223555677}" name="median"/>
    <tableColumn id="3" xr3:uid="{6F3412A8-D29F-412B-92B6-70664D73D6D5}" name="mean"/>
    <tableColumn id="4" xr3:uid="{801114F6-4338-4895-B8C5-1BA4A01A8A44}" name="count"/>
    <tableColumn id="5" xr3:uid="{2471F91E-C342-491D-BD1A-95BC11261137}" name="min"/>
    <tableColumn id="6" xr3:uid="{A819BD10-73D9-493E-95D4-E14CA461E23D}" name="ma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RowHeight="14.25" x14ac:dyDescent="0.45"/>
  <cols>
    <col min="1" max="1" width="10.53125" customWidth="1"/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6</v>
      </c>
      <c r="C2">
        <v>64</v>
      </c>
      <c r="D2">
        <v>5</v>
      </c>
      <c r="E2">
        <v>12</v>
      </c>
    </row>
    <row r="3" spans="1:5" x14ac:dyDescent="0.45">
      <c r="A3" t="s">
        <v>6</v>
      </c>
      <c r="B3">
        <v>7</v>
      </c>
      <c r="C3">
        <v>60</v>
      </c>
      <c r="D3">
        <v>11</v>
      </c>
      <c r="E3">
        <v>19</v>
      </c>
    </row>
    <row r="4" spans="1:5" x14ac:dyDescent="0.45">
      <c r="A4" t="s">
        <v>7</v>
      </c>
      <c r="B4">
        <v>9</v>
      </c>
      <c r="C4">
        <v>78</v>
      </c>
      <c r="D4">
        <v>11</v>
      </c>
      <c r="E4">
        <v>18</v>
      </c>
    </row>
    <row r="5" spans="1:5" x14ac:dyDescent="0.45">
      <c r="A5" t="s">
        <v>8</v>
      </c>
      <c r="B5">
        <v>12</v>
      </c>
      <c r="C5">
        <v>71</v>
      </c>
      <c r="D5">
        <v>12</v>
      </c>
      <c r="E5">
        <v>13</v>
      </c>
    </row>
    <row r="6" spans="1:5" x14ac:dyDescent="0.45">
      <c r="A6" t="s">
        <v>9</v>
      </c>
      <c r="B6">
        <v>7</v>
      </c>
      <c r="C6">
        <v>70</v>
      </c>
      <c r="D6">
        <v>10</v>
      </c>
      <c r="E6">
        <v>15</v>
      </c>
    </row>
    <row r="7" spans="1:5" x14ac:dyDescent="0.45">
      <c r="A7" t="s">
        <v>10</v>
      </c>
      <c r="B7">
        <v>13</v>
      </c>
      <c r="C7">
        <v>75</v>
      </c>
      <c r="D7">
        <v>11</v>
      </c>
      <c r="E7">
        <v>14</v>
      </c>
    </row>
    <row r="8" spans="1:5" x14ac:dyDescent="0.45">
      <c r="A8" t="s">
        <v>11</v>
      </c>
      <c r="B8">
        <v>10</v>
      </c>
      <c r="C8">
        <v>72</v>
      </c>
      <c r="D8">
        <v>8</v>
      </c>
      <c r="E8">
        <v>11</v>
      </c>
    </row>
    <row r="9" spans="1:5" x14ac:dyDescent="0.45">
      <c r="A9" t="s">
        <v>12</v>
      </c>
      <c r="B9">
        <v>9</v>
      </c>
      <c r="C9">
        <v>60</v>
      </c>
      <c r="D9">
        <v>8</v>
      </c>
      <c r="E9">
        <v>12</v>
      </c>
    </row>
    <row r="10" spans="1:5" x14ac:dyDescent="0.45">
      <c r="A10" t="s">
        <v>13</v>
      </c>
      <c r="B10">
        <v>7</v>
      </c>
      <c r="C10">
        <v>73</v>
      </c>
      <c r="D10">
        <v>11</v>
      </c>
      <c r="E10">
        <v>9</v>
      </c>
    </row>
    <row r="11" spans="1:5" x14ac:dyDescent="0.45">
      <c r="A11" t="s">
        <v>14</v>
      </c>
      <c r="B11">
        <v>9</v>
      </c>
      <c r="C11">
        <v>61</v>
      </c>
      <c r="D11">
        <v>8</v>
      </c>
      <c r="E11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A12" sqref="A12"/>
    </sheetView>
  </sheetViews>
  <sheetFormatPr defaultRowHeight="14.25" x14ac:dyDescent="0.45"/>
  <cols>
    <col min="1" max="1" width="10.53125" customWidth="1"/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s="3">
        <v>6.8965517241379296E-2</v>
      </c>
      <c r="C2" s="3">
        <v>0.73563218390804597</v>
      </c>
      <c r="D2" s="3">
        <v>5.7471264367816001E-2</v>
      </c>
      <c r="E2" s="3">
        <v>0.13793103448275859</v>
      </c>
    </row>
    <row r="3" spans="1:5" x14ac:dyDescent="0.45">
      <c r="A3" t="s">
        <v>6</v>
      </c>
      <c r="B3" s="3">
        <v>7.2164948453608199E-2</v>
      </c>
      <c r="C3" s="3">
        <v>0.61855670103092786</v>
      </c>
      <c r="D3" s="3">
        <v>0.1134020618556701</v>
      </c>
      <c r="E3" s="3">
        <v>0.19587628865979381</v>
      </c>
    </row>
    <row r="4" spans="1:5" x14ac:dyDescent="0.45">
      <c r="A4" t="s">
        <v>7</v>
      </c>
      <c r="B4" s="3">
        <v>7.7586206896551699E-2</v>
      </c>
      <c r="C4" s="3">
        <v>0.67241379310344829</v>
      </c>
      <c r="D4" s="3">
        <v>9.4827586206896505E-2</v>
      </c>
      <c r="E4" s="3">
        <v>0.1551724137931034</v>
      </c>
    </row>
    <row r="5" spans="1:5" x14ac:dyDescent="0.45">
      <c r="A5" t="s">
        <v>8</v>
      </c>
      <c r="B5" s="3">
        <v>0.1111111111111111</v>
      </c>
      <c r="C5" s="3">
        <v>0.65740740740740744</v>
      </c>
      <c r="D5" s="3">
        <v>0.1111111111111111</v>
      </c>
      <c r="E5" s="3">
        <v>0.12037037037037029</v>
      </c>
    </row>
    <row r="6" spans="1:5" x14ac:dyDescent="0.45">
      <c r="A6" t="s">
        <v>9</v>
      </c>
      <c r="B6" s="3">
        <v>6.8627450980392093E-2</v>
      </c>
      <c r="C6" s="3">
        <v>0.68627450980392157</v>
      </c>
      <c r="D6" s="3">
        <v>9.8039215686274495E-2</v>
      </c>
      <c r="E6" s="3">
        <v>0.14705882352941169</v>
      </c>
    </row>
    <row r="7" spans="1:5" x14ac:dyDescent="0.45">
      <c r="A7" t="s">
        <v>10</v>
      </c>
      <c r="B7" s="3">
        <v>0.1150442477876106</v>
      </c>
      <c r="C7" s="3">
        <v>0.66371681415929207</v>
      </c>
      <c r="D7" s="3">
        <v>9.7345132743362803E-2</v>
      </c>
      <c r="E7" s="3">
        <v>0.1238938053097345</v>
      </c>
    </row>
    <row r="8" spans="1:5" x14ac:dyDescent="0.45">
      <c r="A8" t="s">
        <v>11</v>
      </c>
      <c r="B8" s="3">
        <v>9.9009900990099001E-2</v>
      </c>
      <c r="C8" s="3">
        <v>0.71287128712871284</v>
      </c>
      <c r="D8" s="3">
        <v>7.9207920792079195E-2</v>
      </c>
      <c r="E8" s="3">
        <v>0.1089108910891089</v>
      </c>
    </row>
    <row r="9" spans="1:5" x14ac:dyDescent="0.45">
      <c r="A9" t="s">
        <v>12</v>
      </c>
      <c r="B9" s="3">
        <v>0.10112359550561791</v>
      </c>
      <c r="C9" s="3">
        <v>0.6741573033707865</v>
      </c>
      <c r="D9" s="3">
        <v>8.98876404494382E-2</v>
      </c>
      <c r="E9" s="3">
        <v>0.1348314606741573</v>
      </c>
    </row>
    <row r="10" spans="1:5" x14ac:dyDescent="0.45">
      <c r="A10" t="s">
        <v>13</v>
      </c>
      <c r="B10" s="3">
        <v>7.0000000000000007E-2</v>
      </c>
      <c r="C10" s="3">
        <v>0.73</v>
      </c>
      <c r="D10" s="3">
        <v>0.11</v>
      </c>
      <c r="E10" s="3">
        <v>0.09</v>
      </c>
    </row>
    <row r="11" spans="1:5" x14ac:dyDescent="0.45">
      <c r="A11" t="s">
        <v>14</v>
      </c>
      <c r="B11" s="3">
        <v>0.10344827586206889</v>
      </c>
      <c r="C11" s="3">
        <v>0.70114942528735635</v>
      </c>
      <c r="D11" s="3">
        <v>9.1954022988505704E-2</v>
      </c>
      <c r="E11" s="3">
        <v>0.10344827586206889</v>
      </c>
    </row>
    <row r="12" spans="1:5" x14ac:dyDescent="0.45">
      <c r="A12" s="4" t="s">
        <v>40</v>
      </c>
      <c r="B12" s="3">
        <f ca="1">AVERAGE(Table2[Deceased])</f>
        <v>8.8708125482843875E-2</v>
      </c>
      <c r="C12" s="3">
        <f ca="1">AVERAGE(Table2[Discharged])</f>
        <v>0.6852179425199898</v>
      </c>
      <c r="D12" s="3">
        <f ca="1">AVERAGE(Table2[LAMA])</f>
        <v>9.4324595620115415E-2</v>
      </c>
      <c r="E12" s="3">
        <f ca="1">AVERAGE(Table2[Referred])</f>
        <v>0.13174933637705075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sqref="A1:F11"/>
    </sheetView>
  </sheetViews>
  <sheetFormatPr defaultRowHeight="14.25" x14ac:dyDescent="0.45"/>
  <cols>
    <col min="1" max="1" width="10.53125" customWidth="1"/>
    <col min="3" max="3" width="11.06640625" customWidth="1"/>
    <col min="4" max="4" width="9.46484375" customWidth="1"/>
    <col min="5" max="5" width="10.1328125" customWidth="1"/>
    <col min="6" max="6" width="9.19921875" customWidth="1"/>
  </cols>
  <sheetData>
    <row r="1" spans="1:6" x14ac:dyDescent="0.4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t="s">
        <v>5</v>
      </c>
      <c r="B2">
        <v>20</v>
      </c>
      <c r="C2">
        <v>19</v>
      </c>
      <c r="D2">
        <v>21</v>
      </c>
      <c r="E2">
        <v>17</v>
      </c>
      <c r="F2">
        <v>10</v>
      </c>
    </row>
    <row r="3" spans="1:6" x14ac:dyDescent="0.45">
      <c r="A3" t="s">
        <v>6</v>
      </c>
      <c r="B3">
        <v>17</v>
      </c>
      <c r="C3">
        <v>18</v>
      </c>
      <c r="D3">
        <v>17</v>
      </c>
      <c r="E3">
        <v>24</v>
      </c>
      <c r="F3">
        <v>21</v>
      </c>
    </row>
    <row r="4" spans="1:6" x14ac:dyDescent="0.45">
      <c r="A4" t="s">
        <v>7</v>
      </c>
      <c r="B4">
        <v>16</v>
      </c>
      <c r="C4">
        <v>22</v>
      </c>
      <c r="D4">
        <v>25</v>
      </c>
      <c r="E4">
        <v>22</v>
      </c>
      <c r="F4">
        <v>31</v>
      </c>
    </row>
    <row r="5" spans="1:6" x14ac:dyDescent="0.45">
      <c r="A5" t="s">
        <v>8</v>
      </c>
      <c r="B5">
        <v>24</v>
      </c>
      <c r="C5">
        <v>22</v>
      </c>
      <c r="D5">
        <v>23</v>
      </c>
      <c r="E5">
        <v>18</v>
      </c>
      <c r="F5">
        <v>21</v>
      </c>
    </row>
    <row r="6" spans="1:6" x14ac:dyDescent="0.45">
      <c r="A6" t="s">
        <v>9</v>
      </c>
      <c r="B6">
        <v>20</v>
      </c>
      <c r="C6">
        <v>18</v>
      </c>
      <c r="D6">
        <v>23</v>
      </c>
      <c r="E6">
        <v>21</v>
      </c>
      <c r="F6">
        <v>20</v>
      </c>
    </row>
    <row r="7" spans="1:6" x14ac:dyDescent="0.45">
      <c r="A7" t="s">
        <v>10</v>
      </c>
      <c r="B7">
        <v>29</v>
      </c>
      <c r="C7">
        <v>26</v>
      </c>
      <c r="D7">
        <v>18</v>
      </c>
      <c r="E7">
        <v>19</v>
      </c>
      <c r="F7">
        <v>21</v>
      </c>
    </row>
    <row r="8" spans="1:6" x14ac:dyDescent="0.45">
      <c r="A8" t="s">
        <v>11</v>
      </c>
      <c r="B8">
        <v>15</v>
      </c>
      <c r="C8">
        <v>16</v>
      </c>
      <c r="D8">
        <v>21</v>
      </c>
      <c r="E8">
        <v>20</v>
      </c>
      <c r="F8">
        <v>29</v>
      </c>
    </row>
    <row r="9" spans="1:6" x14ac:dyDescent="0.45">
      <c r="A9" t="s">
        <v>12</v>
      </c>
      <c r="B9">
        <v>25</v>
      </c>
      <c r="C9">
        <v>10</v>
      </c>
      <c r="D9">
        <v>18</v>
      </c>
      <c r="E9">
        <v>11</v>
      </c>
      <c r="F9">
        <v>25</v>
      </c>
    </row>
    <row r="10" spans="1:6" x14ac:dyDescent="0.45">
      <c r="A10" t="s">
        <v>13</v>
      </c>
      <c r="B10">
        <v>18</v>
      </c>
      <c r="C10">
        <v>16</v>
      </c>
      <c r="D10">
        <v>24</v>
      </c>
      <c r="E10">
        <v>21</v>
      </c>
      <c r="F10">
        <v>21</v>
      </c>
    </row>
    <row r="11" spans="1:6" x14ac:dyDescent="0.45">
      <c r="A11" t="s">
        <v>14</v>
      </c>
      <c r="B11">
        <v>13</v>
      </c>
      <c r="C11">
        <v>19</v>
      </c>
      <c r="D11">
        <v>15</v>
      </c>
      <c r="E11">
        <v>21</v>
      </c>
      <c r="F11">
        <v>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F11"/>
    </sheetView>
  </sheetViews>
  <sheetFormatPr defaultRowHeight="14.25" x14ac:dyDescent="0.45"/>
  <cols>
    <col min="1" max="1" width="10.53125" customWidth="1"/>
    <col min="3" max="3" width="11.06640625" customWidth="1"/>
    <col min="4" max="4" width="9.46484375" customWidth="1"/>
    <col min="5" max="5" width="10.1328125" customWidth="1"/>
    <col min="6" max="6" width="9.19921875" customWidth="1"/>
  </cols>
  <sheetData>
    <row r="1" spans="1:6" x14ac:dyDescent="0.4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t="s">
        <v>5</v>
      </c>
      <c r="B2">
        <v>0.22988505747126431</v>
      </c>
      <c r="C2">
        <v>0.2183908045977011</v>
      </c>
      <c r="D2">
        <v>0.2413793103448276</v>
      </c>
      <c r="E2">
        <v>0.1954022988505747</v>
      </c>
      <c r="F2">
        <v>0.1149425287356321</v>
      </c>
    </row>
    <row r="3" spans="1:6" x14ac:dyDescent="0.45">
      <c r="A3" t="s">
        <v>6</v>
      </c>
      <c r="B3">
        <v>0.17525773195876279</v>
      </c>
      <c r="C3">
        <v>0.1855670103092783</v>
      </c>
      <c r="D3">
        <v>0.17525773195876279</v>
      </c>
      <c r="E3">
        <v>0.24742268041237109</v>
      </c>
      <c r="F3">
        <v>0.21649484536082469</v>
      </c>
    </row>
    <row r="4" spans="1:6" x14ac:dyDescent="0.45">
      <c r="A4" t="s">
        <v>7</v>
      </c>
      <c r="B4">
        <v>0.13793103448275859</v>
      </c>
      <c r="C4">
        <v>0.18965517241379309</v>
      </c>
      <c r="D4">
        <v>0.2155172413793103</v>
      </c>
      <c r="E4">
        <v>0.18965517241379309</v>
      </c>
      <c r="F4">
        <v>0.26724137931034481</v>
      </c>
    </row>
    <row r="5" spans="1:6" x14ac:dyDescent="0.45">
      <c r="A5" t="s">
        <v>8</v>
      </c>
      <c r="B5">
        <v>0.22222222222222221</v>
      </c>
      <c r="C5">
        <v>0.20370370370370369</v>
      </c>
      <c r="D5">
        <v>0.21296296296296291</v>
      </c>
      <c r="E5">
        <v>0.1666666666666666</v>
      </c>
      <c r="F5">
        <v>0.19444444444444439</v>
      </c>
    </row>
    <row r="6" spans="1:6" x14ac:dyDescent="0.45">
      <c r="A6" t="s">
        <v>9</v>
      </c>
      <c r="B6">
        <v>0.19607843137254899</v>
      </c>
      <c r="C6">
        <v>0.1764705882352941</v>
      </c>
      <c r="D6">
        <v>0.22549019607843129</v>
      </c>
      <c r="E6">
        <v>0.20588235294117641</v>
      </c>
      <c r="F6">
        <v>0.19607843137254899</v>
      </c>
    </row>
    <row r="7" spans="1:6" x14ac:dyDescent="0.45">
      <c r="A7" t="s">
        <v>10</v>
      </c>
      <c r="B7">
        <v>0.25663716814159288</v>
      </c>
      <c r="C7">
        <v>0.23008849557522121</v>
      </c>
      <c r="D7">
        <v>0.15929203539823009</v>
      </c>
      <c r="E7">
        <v>0.16814159292035399</v>
      </c>
      <c r="F7">
        <v>0.1858407079646017</v>
      </c>
    </row>
    <row r="8" spans="1:6" x14ac:dyDescent="0.45">
      <c r="A8" t="s">
        <v>11</v>
      </c>
      <c r="B8">
        <v>0.14851485148514851</v>
      </c>
      <c r="C8">
        <v>0.15841584158415839</v>
      </c>
      <c r="D8">
        <v>0.20792079207920791</v>
      </c>
      <c r="E8">
        <v>0.198019801980198</v>
      </c>
      <c r="F8">
        <v>0.28712871287128711</v>
      </c>
    </row>
    <row r="9" spans="1:6" x14ac:dyDescent="0.45">
      <c r="A9" t="s">
        <v>12</v>
      </c>
      <c r="B9">
        <v>0.2808988764044944</v>
      </c>
      <c r="C9">
        <v>0.11235955056179769</v>
      </c>
      <c r="D9">
        <v>0.20224719101123589</v>
      </c>
      <c r="E9">
        <v>0.1235955056179775</v>
      </c>
      <c r="F9">
        <v>0.2808988764044944</v>
      </c>
    </row>
    <row r="10" spans="1:6" x14ac:dyDescent="0.45">
      <c r="A10" t="s">
        <v>13</v>
      </c>
      <c r="B10">
        <v>0.18</v>
      </c>
      <c r="C10">
        <v>0.16</v>
      </c>
      <c r="D10">
        <v>0.24</v>
      </c>
      <c r="E10">
        <v>0.21</v>
      </c>
      <c r="F10">
        <v>0.21</v>
      </c>
    </row>
    <row r="11" spans="1:6" x14ac:dyDescent="0.45">
      <c r="A11" t="s">
        <v>14</v>
      </c>
      <c r="B11">
        <v>0.1494252873563218</v>
      </c>
      <c r="C11">
        <v>0.2183908045977011</v>
      </c>
      <c r="D11">
        <v>0.17241379310344829</v>
      </c>
      <c r="E11">
        <v>0.2413793103448276</v>
      </c>
      <c r="F11">
        <v>0.2183908045977011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E39" sqref="E39"/>
    </sheetView>
  </sheetViews>
  <sheetFormatPr defaultRowHeight="14.25" x14ac:dyDescent="0.45"/>
  <cols>
    <col min="2" max="2" width="18.9296875" customWidth="1"/>
    <col min="3" max="3" width="9.19921875" customWidth="1"/>
    <col min="4" max="4" width="10.3984375" customWidth="1"/>
    <col min="5" max="5" width="13.46484375" customWidth="1"/>
    <col min="6" max="6" width="14" customWidth="1"/>
    <col min="8" max="8" width="12.265625" customWidth="1"/>
    <col min="10" max="10" width="13.19921875" customWidth="1"/>
    <col min="11" max="11" width="15.86328125" customWidth="1"/>
  </cols>
  <sheetData>
    <row r="1" spans="1:11" x14ac:dyDescent="0.45">
      <c r="A1" s="1" t="s">
        <v>20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45">
      <c r="A2" t="s">
        <v>21</v>
      </c>
      <c r="B2">
        <v>39</v>
      </c>
      <c r="C2">
        <v>51</v>
      </c>
      <c r="D2">
        <v>52</v>
      </c>
      <c r="E2">
        <v>49</v>
      </c>
      <c r="F2">
        <v>48</v>
      </c>
      <c r="G2">
        <v>64</v>
      </c>
      <c r="H2">
        <v>48</v>
      </c>
      <c r="I2">
        <v>44</v>
      </c>
      <c r="J2">
        <v>54</v>
      </c>
      <c r="K2">
        <v>43</v>
      </c>
    </row>
    <row r="3" spans="1:11" x14ac:dyDescent="0.45">
      <c r="A3" t="s">
        <v>22</v>
      </c>
      <c r="B3">
        <v>43</v>
      </c>
      <c r="C3">
        <v>40</v>
      </c>
      <c r="D3">
        <v>55</v>
      </c>
      <c r="E3">
        <v>51</v>
      </c>
      <c r="F3">
        <v>45</v>
      </c>
      <c r="G3">
        <v>43</v>
      </c>
      <c r="H3">
        <v>45</v>
      </c>
      <c r="I3">
        <v>35</v>
      </c>
      <c r="J3">
        <v>43</v>
      </c>
      <c r="K3">
        <v>39</v>
      </c>
    </row>
    <row r="4" spans="1:11" x14ac:dyDescent="0.45">
      <c r="A4" t="s">
        <v>23</v>
      </c>
      <c r="B4">
        <v>5</v>
      </c>
      <c r="C4">
        <v>6</v>
      </c>
      <c r="D4">
        <v>9</v>
      </c>
      <c r="E4">
        <v>8</v>
      </c>
      <c r="F4">
        <v>9</v>
      </c>
      <c r="G4">
        <v>6</v>
      </c>
      <c r="H4">
        <v>8</v>
      </c>
      <c r="I4">
        <v>10</v>
      </c>
      <c r="J4">
        <v>3</v>
      </c>
      <c r="K4">
        <v>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>
      <selection activeCell="E39" sqref="E39"/>
    </sheetView>
  </sheetViews>
  <sheetFormatPr defaultRowHeight="14.25" x14ac:dyDescent="0.45"/>
  <cols>
    <col min="2" max="2" width="18.9296875" customWidth="1"/>
    <col min="3" max="3" width="9.19921875" customWidth="1"/>
    <col min="4" max="4" width="10.3984375" customWidth="1"/>
    <col min="5" max="5" width="13.46484375" customWidth="1"/>
    <col min="6" max="6" width="14" customWidth="1"/>
    <col min="8" max="8" width="12.265625" customWidth="1"/>
    <col min="10" max="10" width="13.19921875" customWidth="1"/>
    <col min="11" max="11" width="15.86328125" customWidth="1"/>
  </cols>
  <sheetData>
    <row r="1" spans="1:11" x14ac:dyDescent="0.45">
      <c r="A1" s="1" t="s">
        <v>20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45">
      <c r="A2" t="s">
        <v>21</v>
      </c>
      <c r="B2">
        <v>7.9268292682926803E-2</v>
      </c>
      <c r="C2">
        <v>0.10365853658536579</v>
      </c>
      <c r="D2">
        <v>0.1056910569105691</v>
      </c>
      <c r="E2">
        <v>9.9593495934959295E-2</v>
      </c>
      <c r="F2">
        <v>9.7560975609756101E-2</v>
      </c>
      <c r="G2">
        <v>0.13008130081300809</v>
      </c>
      <c r="H2">
        <v>9.7560975609756101E-2</v>
      </c>
      <c r="I2">
        <v>8.9430894308942993E-2</v>
      </c>
      <c r="J2">
        <v>0.1097560975609756</v>
      </c>
      <c r="K2">
        <v>8.7398373983739799E-2</v>
      </c>
    </row>
    <row r="3" spans="1:11" x14ac:dyDescent="0.45">
      <c r="A3" t="s">
        <v>22</v>
      </c>
      <c r="B3">
        <v>9.7949886104783598E-2</v>
      </c>
      <c r="C3">
        <v>9.1116173120728894E-2</v>
      </c>
      <c r="D3">
        <v>0.12528473804100229</v>
      </c>
      <c r="E3">
        <v>0.1161731207289293</v>
      </c>
      <c r="F3">
        <v>0.10250569476082</v>
      </c>
      <c r="G3">
        <v>9.7949886104783598E-2</v>
      </c>
      <c r="H3">
        <v>0.10250569476082</v>
      </c>
      <c r="I3">
        <v>7.9726651480637803E-2</v>
      </c>
      <c r="J3">
        <v>9.7949886104783598E-2</v>
      </c>
      <c r="K3">
        <v>8.8838268792710701E-2</v>
      </c>
    </row>
    <row r="4" spans="1:11" x14ac:dyDescent="0.45">
      <c r="A4" t="s">
        <v>23</v>
      </c>
      <c r="B4">
        <v>7.2463768115942004E-2</v>
      </c>
      <c r="C4">
        <v>8.6956521739130405E-2</v>
      </c>
      <c r="D4">
        <v>0.13043478260869559</v>
      </c>
      <c r="E4">
        <v>0.11594202898550721</v>
      </c>
      <c r="F4">
        <v>0.13043478260869559</v>
      </c>
      <c r="G4">
        <v>8.6956521739130405E-2</v>
      </c>
      <c r="H4">
        <v>0.11594202898550721</v>
      </c>
      <c r="I4">
        <v>0.14492753623188401</v>
      </c>
      <c r="J4">
        <v>4.3478260869565202E-2</v>
      </c>
      <c r="K4">
        <v>7.2463768115942004E-2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selection sqref="A1:E4"/>
    </sheetView>
  </sheetViews>
  <sheetFormatPr defaultRowHeight="14.25" x14ac:dyDescent="0.45"/>
  <cols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21</v>
      </c>
      <c r="B2">
        <v>47</v>
      </c>
      <c r="C2">
        <v>349</v>
      </c>
      <c r="D2">
        <v>35</v>
      </c>
      <c r="E2">
        <v>61</v>
      </c>
    </row>
    <row r="3" spans="1:5" x14ac:dyDescent="0.45">
      <c r="A3" t="s">
        <v>22</v>
      </c>
      <c r="B3">
        <v>34</v>
      </c>
      <c r="C3">
        <v>292</v>
      </c>
      <c r="D3">
        <v>54</v>
      </c>
      <c r="E3">
        <v>59</v>
      </c>
    </row>
    <row r="4" spans="1:5" x14ac:dyDescent="0.45">
      <c r="A4" t="s">
        <v>23</v>
      </c>
      <c r="B4">
        <v>8</v>
      </c>
      <c r="C4">
        <v>43</v>
      </c>
      <c r="D4">
        <v>6</v>
      </c>
      <c r="E4">
        <v>12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selection sqref="A1:E4"/>
    </sheetView>
  </sheetViews>
  <sheetFormatPr defaultRowHeight="14.25" x14ac:dyDescent="0.45"/>
  <cols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21</v>
      </c>
      <c r="B2">
        <v>9.5528455284552796E-2</v>
      </c>
      <c r="C2">
        <v>0.70934959349593496</v>
      </c>
      <c r="D2">
        <v>7.1138211382113806E-2</v>
      </c>
      <c r="E2">
        <v>0.1239837398373983</v>
      </c>
    </row>
    <row r="3" spans="1:5" x14ac:dyDescent="0.45">
      <c r="A3" t="s">
        <v>22</v>
      </c>
      <c r="B3">
        <v>7.7448747152619596E-2</v>
      </c>
      <c r="C3">
        <v>0.66514806378132119</v>
      </c>
      <c r="D3">
        <v>0.123006833712984</v>
      </c>
      <c r="E3">
        <v>0.13439635535307509</v>
      </c>
    </row>
    <row r="4" spans="1:5" x14ac:dyDescent="0.45">
      <c r="A4" t="s">
        <v>23</v>
      </c>
      <c r="B4">
        <v>0.11594202898550721</v>
      </c>
      <c r="C4">
        <v>0.62318840579710144</v>
      </c>
      <c r="D4">
        <v>8.6956521739130405E-2</v>
      </c>
      <c r="E4">
        <v>0.17391304347826081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selection sqref="A1:F4"/>
    </sheetView>
  </sheetViews>
  <sheetFormatPr defaultRowHeight="14.25" x14ac:dyDescent="0.45"/>
  <cols>
    <col min="3" max="3" width="11.06640625" customWidth="1"/>
    <col min="4" max="4" width="9.46484375" customWidth="1"/>
    <col min="5" max="5" width="10.1328125" customWidth="1"/>
    <col min="6" max="6" width="9.19921875" customWidth="1"/>
  </cols>
  <sheetData>
    <row r="1" spans="1:6" x14ac:dyDescent="0.45">
      <c r="A1" s="1" t="s">
        <v>20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t="s">
        <v>21</v>
      </c>
      <c r="B2">
        <v>85</v>
      </c>
      <c r="C2">
        <v>99</v>
      </c>
      <c r="D2">
        <v>107</v>
      </c>
      <c r="E2">
        <v>101</v>
      </c>
      <c r="F2">
        <v>100</v>
      </c>
    </row>
    <row r="3" spans="1:6" x14ac:dyDescent="0.45">
      <c r="A3" t="s">
        <v>22</v>
      </c>
      <c r="B3">
        <v>96</v>
      </c>
      <c r="C3">
        <v>78</v>
      </c>
      <c r="D3">
        <v>85</v>
      </c>
      <c r="E3">
        <v>78</v>
      </c>
      <c r="F3">
        <v>102</v>
      </c>
    </row>
    <row r="4" spans="1:6" x14ac:dyDescent="0.45">
      <c r="A4" t="s">
        <v>23</v>
      </c>
      <c r="B4">
        <v>16</v>
      </c>
      <c r="C4">
        <v>9</v>
      </c>
      <c r="D4">
        <v>13</v>
      </c>
      <c r="E4">
        <v>15</v>
      </c>
      <c r="F4">
        <v>16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>
      <selection sqref="A1:F4"/>
    </sheetView>
  </sheetViews>
  <sheetFormatPr defaultRowHeight="14.25" x14ac:dyDescent="0.45"/>
  <cols>
    <col min="3" max="3" width="11.06640625" customWidth="1"/>
    <col min="4" max="4" width="9.46484375" customWidth="1"/>
    <col min="5" max="5" width="10.1328125" customWidth="1"/>
    <col min="6" max="6" width="9.19921875" customWidth="1"/>
  </cols>
  <sheetData>
    <row r="1" spans="1:6" x14ac:dyDescent="0.45">
      <c r="A1" s="1" t="s">
        <v>20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t="s">
        <v>21</v>
      </c>
      <c r="B2">
        <v>0.17276422764227639</v>
      </c>
      <c r="C2">
        <v>0.20121951219512191</v>
      </c>
      <c r="D2">
        <v>0.2174796747967479</v>
      </c>
      <c r="E2">
        <v>0.20528455284552841</v>
      </c>
      <c r="F2">
        <v>0.2032520325203252</v>
      </c>
    </row>
    <row r="3" spans="1:6" x14ac:dyDescent="0.45">
      <c r="A3" t="s">
        <v>22</v>
      </c>
      <c r="B3">
        <v>0.21867881548974941</v>
      </c>
      <c r="C3">
        <v>0.1776765375854214</v>
      </c>
      <c r="D3">
        <v>0.19362186788154889</v>
      </c>
      <c r="E3">
        <v>0.1776765375854214</v>
      </c>
      <c r="F3">
        <v>0.2323462414578587</v>
      </c>
    </row>
    <row r="4" spans="1:6" x14ac:dyDescent="0.45">
      <c r="A4" t="s">
        <v>23</v>
      </c>
      <c r="B4">
        <v>0.2318840579710145</v>
      </c>
      <c r="C4">
        <v>0.13043478260869559</v>
      </c>
      <c r="D4">
        <v>0.1884057971014492</v>
      </c>
      <c r="E4">
        <v>0.217391304347826</v>
      </c>
      <c r="F4">
        <v>0.2318840579710145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activeCell="F39" sqref="F39"/>
    </sheetView>
  </sheetViews>
  <sheetFormatPr defaultRowHeight="14.25" x14ac:dyDescent="0.45"/>
  <cols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24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15</v>
      </c>
      <c r="B2">
        <v>17</v>
      </c>
      <c r="C2">
        <v>136</v>
      </c>
      <c r="D2">
        <v>19</v>
      </c>
      <c r="E2">
        <v>25</v>
      </c>
    </row>
    <row r="3" spans="1:5" x14ac:dyDescent="0.45">
      <c r="A3" t="s">
        <v>16</v>
      </c>
      <c r="B3">
        <v>16</v>
      </c>
      <c r="C3">
        <v>128</v>
      </c>
      <c r="D3">
        <v>21</v>
      </c>
      <c r="E3">
        <v>21</v>
      </c>
    </row>
    <row r="4" spans="1:5" x14ac:dyDescent="0.45">
      <c r="A4" t="s">
        <v>17</v>
      </c>
      <c r="B4">
        <v>19</v>
      </c>
      <c r="C4">
        <v>142</v>
      </c>
      <c r="D4">
        <v>17</v>
      </c>
      <c r="E4">
        <v>27</v>
      </c>
    </row>
    <row r="5" spans="1:5" x14ac:dyDescent="0.45">
      <c r="A5" t="s">
        <v>18</v>
      </c>
      <c r="B5">
        <v>15</v>
      </c>
      <c r="C5">
        <v>130</v>
      </c>
      <c r="D5">
        <v>18</v>
      </c>
      <c r="E5">
        <v>31</v>
      </c>
    </row>
    <row r="6" spans="1:5" x14ac:dyDescent="0.45">
      <c r="A6" t="s">
        <v>19</v>
      </c>
      <c r="B6">
        <v>22</v>
      </c>
      <c r="C6">
        <v>148</v>
      </c>
      <c r="D6">
        <v>20</v>
      </c>
      <c r="E6">
        <v>28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>
      <selection sqref="A1:E6"/>
    </sheetView>
  </sheetViews>
  <sheetFormatPr defaultRowHeight="14.25" x14ac:dyDescent="0.45"/>
  <cols>
    <col min="2" max="2" width="10.796875" customWidth="1"/>
    <col min="3" max="3" width="11.86328125" customWidth="1"/>
    <col min="5" max="5" width="10.1328125" customWidth="1"/>
  </cols>
  <sheetData>
    <row r="1" spans="1:5" x14ac:dyDescent="0.45">
      <c r="A1" s="1" t="s">
        <v>24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15</v>
      </c>
      <c r="B2">
        <v>8.6294416243654803E-2</v>
      </c>
      <c r="C2">
        <v>0.69035532994923854</v>
      </c>
      <c r="D2">
        <v>9.6446700507614197E-2</v>
      </c>
      <c r="E2">
        <v>0.12690355329949229</v>
      </c>
    </row>
    <row r="3" spans="1:5" x14ac:dyDescent="0.45">
      <c r="A3" t="s">
        <v>16</v>
      </c>
      <c r="B3">
        <v>8.6021505376343996E-2</v>
      </c>
      <c r="C3">
        <v>0.68817204301075274</v>
      </c>
      <c r="D3">
        <v>0.1129032258064516</v>
      </c>
      <c r="E3">
        <v>0.1129032258064516</v>
      </c>
    </row>
    <row r="4" spans="1:5" x14ac:dyDescent="0.45">
      <c r="A4" t="s">
        <v>17</v>
      </c>
      <c r="B4">
        <v>9.2682926829268195E-2</v>
      </c>
      <c r="C4">
        <v>0.69268292682926824</v>
      </c>
      <c r="D4">
        <v>8.2926829268292604E-2</v>
      </c>
      <c r="E4">
        <v>0.13170731707317071</v>
      </c>
    </row>
    <row r="5" spans="1:5" x14ac:dyDescent="0.45">
      <c r="A5" t="s">
        <v>18</v>
      </c>
      <c r="B5">
        <v>7.7319587628865899E-2</v>
      </c>
      <c r="C5">
        <v>0.67010309278350511</v>
      </c>
      <c r="D5">
        <v>9.2783505154639095E-2</v>
      </c>
      <c r="E5">
        <v>0.15979381443298959</v>
      </c>
    </row>
    <row r="6" spans="1:5" x14ac:dyDescent="0.45">
      <c r="A6" t="s">
        <v>19</v>
      </c>
      <c r="B6">
        <v>0.1009174311926605</v>
      </c>
      <c r="C6">
        <v>0.67889908256880738</v>
      </c>
      <c r="D6">
        <v>9.1743119266054995E-2</v>
      </c>
      <c r="E6">
        <v>0.12844036697247699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1"/>
  <sheetViews>
    <sheetView workbookViewId="0">
      <selection sqref="A1:F11"/>
    </sheetView>
  </sheetViews>
  <sheetFormatPr defaultRowHeight="14.25" x14ac:dyDescent="0.45"/>
  <cols>
    <col min="1" max="1" width="10.53125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5</v>
      </c>
      <c r="B2">
        <v>44</v>
      </c>
      <c r="C2">
        <v>45.643678160919542</v>
      </c>
      <c r="D2">
        <v>87</v>
      </c>
      <c r="E2">
        <v>1</v>
      </c>
      <c r="F2">
        <v>88</v>
      </c>
    </row>
    <row r="3" spans="1:6" x14ac:dyDescent="0.45">
      <c r="A3" t="s">
        <v>6</v>
      </c>
      <c r="B3">
        <v>41</v>
      </c>
      <c r="C3">
        <v>42.742268041237111</v>
      </c>
      <c r="D3">
        <v>97</v>
      </c>
      <c r="E3">
        <v>1</v>
      </c>
      <c r="F3">
        <v>89</v>
      </c>
    </row>
    <row r="4" spans="1:6" x14ac:dyDescent="0.45">
      <c r="A4" t="s">
        <v>7</v>
      </c>
      <c r="B4">
        <v>40</v>
      </c>
      <c r="C4">
        <v>39.96551724137931</v>
      </c>
      <c r="D4">
        <v>116</v>
      </c>
      <c r="E4">
        <v>1</v>
      </c>
      <c r="F4">
        <v>87</v>
      </c>
    </row>
    <row r="5" spans="1:6" x14ac:dyDescent="0.45">
      <c r="A5" t="s">
        <v>8</v>
      </c>
      <c r="B5">
        <v>43</v>
      </c>
      <c r="C5">
        <v>42.546296296296298</v>
      </c>
      <c r="D5">
        <v>108</v>
      </c>
      <c r="E5">
        <v>1</v>
      </c>
      <c r="F5">
        <v>89</v>
      </c>
    </row>
    <row r="6" spans="1:6" x14ac:dyDescent="0.45">
      <c r="A6" t="s">
        <v>9</v>
      </c>
      <c r="B6">
        <v>45</v>
      </c>
      <c r="C6">
        <v>47.127450980392162</v>
      </c>
      <c r="D6">
        <v>102</v>
      </c>
      <c r="E6">
        <v>1</v>
      </c>
      <c r="F6">
        <v>89</v>
      </c>
    </row>
    <row r="7" spans="1:6" x14ac:dyDescent="0.45">
      <c r="A7" t="s">
        <v>10</v>
      </c>
      <c r="B7">
        <v>44</v>
      </c>
      <c r="C7">
        <v>44.345132743362832</v>
      </c>
      <c r="D7">
        <v>113</v>
      </c>
      <c r="E7">
        <v>1</v>
      </c>
      <c r="F7">
        <v>89</v>
      </c>
    </row>
    <row r="8" spans="1:6" x14ac:dyDescent="0.45">
      <c r="A8" t="s">
        <v>11</v>
      </c>
      <c r="B8">
        <v>44</v>
      </c>
      <c r="C8">
        <v>42.168316831683171</v>
      </c>
      <c r="D8">
        <v>101</v>
      </c>
      <c r="E8">
        <v>1</v>
      </c>
      <c r="F8">
        <v>89</v>
      </c>
    </row>
    <row r="9" spans="1:6" x14ac:dyDescent="0.45">
      <c r="A9" t="s">
        <v>12</v>
      </c>
      <c r="B9">
        <v>48</v>
      </c>
      <c r="C9">
        <v>44.898876404494381</v>
      </c>
      <c r="D9">
        <v>89</v>
      </c>
      <c r="E9">
        <v>1</v>
      </c>
      <c r="F9">
        <v>86</v>
      </c>
    </row>
    <row r="10" spans="1:6" x14ac:dyDescent="0.45">
      <c r="A10" t="s">
        <v>13</v>
      </c>
      <c r="B10">
        <v>45</v>
      </c>
      <c r="C10">
        <v>44.5</v>
      </c>
      <c r="D10">
        <v>100</v>
      </c>
      <c r="E10">
        <v>1</v>
      </c>
      <c r="F10">
        <v>89</v>
      </c>
    </row>
    <row r="11" spans="1:6" x14ac:dyDescent="0.45">
      <c r="A11" t="s">
        <v>14</v>
      </c>
      <c r="B11">
        <v>43</v>
      </c>
      <c r="C11">
        <v>40.655172413793103</v>
      </c>
      <c r="D11">
        <v>87</v>
      </c>
      <c r="E11">
        <v>1</v>
      </c>
      <c r="F11">
        <v>89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"/>
  <sheetViews>
    <sheetView tabSelected="1" workbookViewId="0">
      <selection activeCell="F15" sqref="F15"/>
    </sheetView>
  </sheetViews>
  <sheetFormatPr defaultRowHeight="14.25" x14ac:dyDescent="0.45"/>
  <cols>
    <col min="1" max="1" width="10.53125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5</v>
      </c>
      <c r="B2">
        <v>11.3</v>
      </c>
      <c r="C2">
        <v>11.122988505747131</v>
      </c>
      <c r="D2">
        <v>87</v>
      </c>
      <c r="E2">
        <v>4</v>
      </c>
      <c r="F2">
        <v>16.7</v>
      </c>
    </row>
    <row r="3" spans="1:6" x14ac:dyDescent="0.45">
      <c r="A3" t="s">
        <v>6</v>
      </c>
      <c r="B3">
        <v>11.5</v>
      </c>
      <c r="C3">
        <v>11.44226804123711</v>
      </c>
      <c r="D3">
        <v>97</v>
      </c>
      <c r="E3">
        <v>5.4</v>
      </c>
      <c r="F3">
        <v>16.899999999999999</v>
      </c>
    </row>
    <row r="4" spans="1:6" x14ac:dyDescent="0.45">
      <c r="A4" t="s">
        <v>7</v>
      </c>
      <c r="B4">
        <v>11.5</v>
      </c>
      <c r="C4">
        <v>11.505172413793099</v>
      </c>
      <c r="D4">
        <v>116</v>
      </c>
      <c r="E4">
        <v>5.9</v>
      </c>
      <c r="F4">
        <v>17.5</v>
      </c>
    </row>
    <row r="5" spans="1:6" x14ac:dyDescent="0.45">
      <c r="A5" t="s">
        <v>8</v>
      </c>
      <c r="B5">
        <v>11.6</v>
      </c>
      <c r="C5">
        <v>11.447222222222219</v>
      </c>
      <c r="D5">
        <v>108</v>
      </c>
      <c r="E5">
        <v>4.4000000000000004</v>
      </c>
      <c r="F5">
        <v>16.7</v>
      </c>
    </row>
    <row r="6" spans="1:6" x14ac:dyDescent="0.45">
      <c r="A6" t="s">
        <v>9</v>
      </c>
      <c r="B6">
        <v>11.4</v>
      </c>
      <c r="C6">
        <v>11.33333333333333</v>
      </c>
      <c r="D6">
        <v>102</v>
      </c>
      <c r="E6">
        <v>6.9</v>
      </c>
      <c r="F6">
        <v>16.100000000000001</v>
      </c>
    </row>
    <row r="7" spans="1:6" x14ac:dyDescent="0.45">
      <c r="A7" t="s">
        <v>10</v>
      </c>
      <c r="B7">
        <v>11</v>
      </c>
      <c r="C7">
        <v>11.15575221238938</v>
      </c>
      <c r="D7">
        <v>113</v>
      </c>
      <c r="E7">
        <v>5.7</v>
      </c>
      <c r="F7">
        <v>18.5</v>
      </c>
    </row>
    <row r="8" spans="1:6" x14ac:dyDescent="0.45">
      <c r="A8" t="s">
        <v>11</v>
      </c>
      <c r="B8">
        <v>11.5</v>
      </c>
      <c r="C8">
        <v>11.470297029702969</v>
      </c>
      <c r="D8">
        <v>101</v>
      </c>
      <c r="E8">
        <v>4.2</v>
      </c>
      <c r="F8">
        <v>19.399999999999999</v>
      </c>
    </row>
    <row r="9" spans="1:6" x14ac:dyDescent="0.45">
      <c r="A9" t="s">
        <v>12</v>
      </c>
      <c r="B9">
        <v>11.7</v>
      </c>
      <c r="C9">
        <v>11.51348314606742</v>
      </c>
      <c r="D9">
        <v>89</v>
      </c>
      <c r="E9">
        <v>6.3</v>
      </c>
      <c r="F9">
        <v>15.7</v>
      </c>
    </row>
    <row r="10" spans="1:6" x14ac:dyDescent="0.45">
      <c r="A10" t="s">
        <v>13</v>
      </c>
      <c r="B10">
        <v>11.4</v>
      </c>
      <c r="C10">
        <v>11.403</v>
      </c>
      <c r="D10">
        <v>100</v>
      </c>
      <c r="E10">
        <v>3.6</v>
      </c>
      <c r="F10">
        <v>16.3</v>
      </c>
    </row>
    <row r="11" spans="1:6" x14ac:dyDescent="0.45">
      <c r="A11" t="s">
        <v>14</v>
      </c>
      <c r="B11">
        <v>11.05</v>
      </c>
      <c r="C11">
        <v>11.01436781609195</v>
      </c>
      <c r="D11">
        <v>87</v>
      </c>
      <c r="E11">
        <v>3.6</v>
      </c>
      <c r="F11">
        <v>17.399999999999999</v>
      </c>
    </row>
    <row r="12" spans="1:6" x14ac:dyDescent="0.45">
      <c r="A12" t="s">
        <v>41</v>
      </c>
      <c r="B12">
        <f>AVERAGE(B2:B11)</f>
        <v>11.395</v>
      </c>
      <c r="C12">
        <f t="shared" ref="C12:F12" si="0">AVERAGE(C2:C11)</f>
        <v>11.340788472058462</v>
      </c>
      <c r="D12">
        <f t="shared" si="0"/>
        <v>100</v>
      </c>
      <c r="E12">
        <f t="shared" si="0"/>
        <v>5.0000000000000009</v>
      </c>
      <c r="F12">
        <f t="shared" si="0"/>
        <v>17.12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>
      <selection activeCell="D25" sqref="D25"/>
    </sheetView>
  </sheetViews>
  <sheetFormatPr defaultRowHeight="14.25" x14ac:dyDescent="0.45"/>
  <cols>
    <col min="1" max="1" width="10.53125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5</v>
      </c>
      <c r="B2">
        <v>4.0999999999999996</v>
      </c>
      <c r="C2">
        <v>5.6724137931034484</v>
      </c>
      <c r="D2">
        <v>87</v>
      </c>
      <c r="E2">
        <v>0.1</v>
      </c>
      <c r="F2">
        <v>30.2</v>
      </c>
    </row>
    <row r="3" spans="1:6" x14ac:dyDescent="0.45">
      <c r="A3" t="s">
        <v>6</v>
      </c>
      <c r="B3">
        <v>2.6</v>
      </c>
      <c r="C3">
        <v>4.2556701030927844</v>
      </c>
      <c r="D3">
        <v>97</v>
      </c>
      <c r="E3">
        <v>0</v>
      </c>
      <c r="F3">
        <v>29.4</v>
      </c>
    </row>
    <row r="4" spans="1:6" x14ac:dyDescent="0.45">
      <c r="A4" t="s">
        <v>7</v>
      </c>
      <c r="B4">
        <v>2.7</v>
      </c>
      <c r="C4">
        <v>3.5517241379310351</v>
      </c>
      <c r="D4">
        <v>116</v>
      </c>
      <c r="E4">
        <v>0</v>
      </c>
      <c r="F4">
        <v>18.3</v>
      </c>
    </row>
    <row r="5" spans="1:6" x14ac:dyDescent="0.45">
      <c r="A5" t="s">
        <v>8</v>
      </c>
      <c r="B5">
        <v>3.8</v>
      </c>
      <c r="C5">
        <v>4.5796296296296299</v>
      </c>
      <c r="D5">
        <v>108</v>
      </c>
      <c r="E5">
        <v>0</v>
      </c>
      <c r="F5">
        <v>18.100000000000001</v>
      </c>
    </row>
    <row r="6" spans="1:6" x14ac:dyDescent="0.45">
      <c r="A6" t="s">
        <v>9</v>
      </c>
      <c r="B6">
        <v>3.5</v>
      </c>
      <c r="C6">
        <v>4.9117647058823533</v>
      </c>
      <c r="D6">
        <v>102</v>
      </c>
      <c r="E6">
        <v>0</v>
      </c>
      <c r="F6">
        <v>27.2</v>
      </c>
    </row>
    <row r="7" spans="1:6" x14ac:dyDescent="0.45">
      <c r="A7" t="s">
        <v>10</v>
      </c>
      <c r="B7">
        <v>4.9000000000000004</v>
      </c>
      <c r="C7">
        <v>5.3982300884955752</v>
      </c>
      <c r="D7">
        <v>113</v>
      </c>
      <c r="E7">
        <v>0</v>
      </c>
      <c r="F7">
        <v>19.8</v>
      </c>
    </row>
    <row r="8" spans="1:6" x14ac:dyDescent="0.45">
      <c r="A8" t="s">
        <v>11</v>
      </c>
      <c r="B8">
        <v>4.05</v>
      </c>
      <c r="C8">
        <v>5.7658415841584159</v>
      </c>
      <c r="D8">
        <v>101</v>
      </c>
      <c r="E8">
        <v>0.2</v>
      </c>
      <c r="F8">
        <v>29.5</v>
      </c>
    </row>
    <row r="9" spans="1:6" x14ac:dyDescent="0.45">
      <c r="A9" t="s">
        <v>12</v>
      </c>
      <c r="B9">
        <v>3.1</v>
      </c>
      <c r="C9">
        <v>5.3775280898876403</v>
      </c>
      <c r="D9">
        <v>89</v>
      </c>
      <c r="E9">
        <v>0</v>
      </c>
      <c r="F9">
        <v>34</v>
      </c>
    </row>
    <row r="10" spans="1:6" x14ac:dyDescent="0.45">
      <c r="A10" t="s">
        <v>13</v>
      </c>
      <c r="B10">
        <v>3.5</v>
      </c>
      <c r="C10">
        <v>4.992</v>
      </c>
      <c r="D10">
        <v>100</v>
      </c>
      <c r="E10">
        <v>0</v>
      </c>
      <c r="F10">
        <v>19.899999999999999</v>
      </c>
    </row>
    <row r="11" spans="1:6" x14ac:dyDescent="0.45">
      <c r="A11" t="s">
        <v>14</v>
      </c>
      <c r="B11">
        <v>3.2</v>
      </c>
      <c r="C11">
        <v>4.5850574712643679</v>
      </c>
      <c r="D11">
        <v>87</v>
      </c>
      <c r="E11">
        <v>0.1</v>
      </c>
      <c r="F11">
        <v>16.600000000000001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1"/>
  <sheetViews>
    <sheetView workbookViewId="0">
      <selection sqref="A1:F11"/>
    </sheetView>
  </sheetViews>
  <sheetFormatPr defaultRowHeight="14.25" x14ac:dyDescent="0.45"/>
  <cols>
    <col min="1" max="1" width="10.53125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5</v>
      </c>
      <c r="B2">
        <v>123</v>
      </c>
      <c r="C2">
        <v>123.10344827586211</v>
      </c>
      <c r="D2">
        <v>87</v>
      </c>
      <c r="E2">
        <v>75</v>
      </c>
      <c r="F2">
        <v>166</v>
      </c>
    </row>
    <row r="3" spans="1:6" x14ac:dyDescent="0.45">
      <c r="A3" t="s">
        <v>6</v>
      </c>
      <c r="B3">
        <v>122</v>
      </c>
      <c r="C3">
        <v>121.85567010309281</v>
      </c>
      <c r="D3">
        <v>97</v>
      </c>
      <c r="E3">
        <v>75</v>
      </c>
      <c r="F3">
        <v>204</v>
      </c>
    </row>
    <row r="4" spans="1:6" x14ac:dyDescent="0.45">
      <c r="A4" t="s">
        <v>7</v>
      </c>
      <c r="B4">
        <v>124</v>
      </c>
      <c r="C4">
        <v>123.8275862068966</v>
      </c>
      <c r="D4">
        <v>116</v>
      </c>
      <c r="E4">
        <v>84</v>
      </c>
      <c r="F4">
        <v>190</v>
      </c>
    </row>
    <row r="5" spans="1:6" x14ac:dyDescent="0.45">
      <c r="A5" t="s">
        <v>8</v>
      </c>
      <c r="B5">
        <v>124</v>
      </c>
      <c r="C5">
        <v>123.8888888888889</v>
      </c>
      <c r="D5">
        <v>108</v>
      </c>
      <c r="E5">
        <v>70</v>
      </c>
      <c r="F5">
        <v>169</v>
      </c>
    </row>
    <row r="6" spans="1:6" x14ac:dyDescent="0.45">
      <c r="A6" t="s">
        <v>9</v>
      </c>
      <c r="B6">
        <v>124</v>
      </c>
      <c r="C6">
        <v>126.78431372549019</v>
      </c>
      <c r="D6">
        <v>102</v>
      </c>
      <c r="E6">
        <v>81</v>
      </c>
      <c r="F6">
        <v>173</v>
      </c>
    </row>
    <row r="7" spans="1:6" x14ac:dyDescent="0.45">
      <c r="A7" t="s">
        <v>10</v>
      </c>
      <c r="B7">
        <v>124</v>
      </c>
      <c r="C7">
        <v>125.01769911504419</v>
      </c>
      <c r="D7">
        <v>113</v>
      </c>
      <c r="E7">
        <v>75</v>
      </c>
      <c r="F7">
        <v>182</v>
      </c>
    </row>
    <row r="8" spans="1:6" x14ac:dyDescent="0.45">
      <c r="A8" t="s">
        <v>11</v>
      </c>
      <c r="B8">
        <v>129</v>
      </c>
      <c r="C8">
        <v>127.95049504950499</v>
      </c>
      <c r="D8">
        <v>101</v>
      </c>
      <c r="E8">
        <v>82</v>
      </c>
      <c r="F8">
        <v>170</v>
      </c>
    </row>
    <row r="9" spans="1:6" x14ac:dyDescent="0.45">
      <c r="A9" t="s">
        <v>12</v>
      </c>
      <c r="B9">
        <v>124</v>
      </c>
      <c r="C9">
        <v>122.3595505617978</v>
      </c>
      <c r="D9">
        <v>89</v>
      </c>
      <c r="E9">
        <v>73</v>
      </c>
      <c r="F9">
        <v>165</v>
      </c>
    </row>
    <row r="10" spans="1:6" x14ac:dyDescent="0.45">
      <c r="A10" t="s">
        <v>13</v>
      </c>
      <c r="B10">
        <v>125</v>
      </c>
      <c r="C10">
        <v>126.36</v>
      </c>
      <c r="D10">
        <v>100</v>
      </c>
      <c r="E10">
        <v>83</v>
      </c>
      <c r="F10">
        <v>171</v>
      </c>
    </row>
    <row r="11" spans="1:6" x14ac:dyDescent="0.45">
      <c r="A11" t="s">
        <v>14</v>
      </c>
      <c r="B11">
        <v>125</v>
      </c>
      <c r="C11">
        <v>125.8620689655172</v>
      </c>
      <c r="D11">
        <v>87</v>
      </c>
      <c r="E11">
        <v>82</v>
      </c>
      <c r="F11">
        <v>175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"/>
  <sheetViews>
    <sheetView workbookViewId="0">
      <selection activeCell="F4" sqref="F4"/>
    </sheetView>
  </sheetViews>
  <sheetFormatPr defaultRowHeight="14.25" x14ac:dyDescent="0.45"/>
  <sheetData>
    <row r="1" spans="1:6" x14ac:dyDescent="0.45">
      <c r="A1" s="1" t="s">
        <v>20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21</v>
      </c>
      <c r="B2">
        <v>44</v>
      </c>
      <c r="C2">
        <v>42.764227642276417</v>
      </c>
      <c r="D2">
        <v>492</v>
      </c>
      <c r="E2">
        <v>1</v>
      </c>
      <c r="F2">
        <v>89</v>
      </c>
    </row>
    <row r="3" spans="1:6" x14ac:dyDescent="0.45">
      <c r="A3" t="s">
        <v>22</v>
      </c>
      <c r="B3">
        <v>44</v>
      </c>
      <c r="C3">
        <v>44.216400911161728</v>
      </c>
      <c r="D3">
        <v>439</v>
      </c>
      <c r="E3">
        <v>1</v>
      </c>
      <c r="F3">
        <v>89</v>
      </c>
    </row>
    <row r="4" spans="1:6" x14ac:dyDescent="0.45">
      <c r="A4" t="s">
        <v>23</v>
      </c>
      <c r="B4">
        <v>44</v>
      </c>
      <c r="C4">
        <v>42.855072463768117</v>
      </c>
      <c r="D4">
        <v>69</v>
      </c>
      <c r="E4">
        <v>1</v>
      </c>
      <c r="F4">
        <v>89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"/>
  <sheetViews>
    <sheetView workbookViewId="0">
      <selection sqref="A1:F4"/>
    </sheetView>
  </sheetViews>
  <sheetFormatPr defaultRowHeight="14.25" x14ac:dyDescent="0.45"/>
  <sheetData>
    <row r="1" spans="1:6" x14ac:dyDescent="0.45">
      <c r="A1" s="1" t="s">
        <v>20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21</v>
      </c>
      <c r="B2">
        <v>11.4</v>
      </c>
      <c r="C2">
        <v>11.29288617886179</v>
      </c>
      <c r="D2">
        <v>492</v>
      </c>
      <c r="E2">
        <v>3.6</v>
      </c>
      <c r="F2">
        <v>19.399999999999999</v>
      </c>
    </row>
    <row r="3" spans="1:6" x14ac:dyDescent="0.45">
      <c r="A3" t="s">
        <v>22</v>
      </c>
      <c r="B3">
        <v>11.5</v>
      </c>
      <c r="C3">
        <v>11.4376993166287</v>
      </c>
      <c r="D3">
        <v>439</v>
      </c>
      <c r="E3">
        <v>4.2</v>
      </c>
      <c r="F3">
        <v>17.5</v>
      </c>
    </row>
    <row r="4" spans="1:6" x14ac:dyDescent="0.45">
      <c r="A4" t="s">
        <v>23</v>
      </c>
      <c r="B4">
        <v>11.5</v>
      </c>
      <c r="C4">
        <v>11.153623188405801</v>
      </c>
      <c r="D4">
        <v>69</v>
      </c>
      <c r="E4">
        <v>4</v>
      </c>
      <c r="F4">
        <v>16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"/>
  <sheetViews>
    <sheetView workbookViewId="0">
      <selection sqref="A1:F4"/>
    </sheetView>
  </sheetViews>
  <sheetFormatPr defaultRowHeight="14.25" x14ac:dyDescent="0.45"/>
  <sheetData>
    <row r="1" spans="1:6" x14ac:dyDescent="0.45">
      <c r="A1" s="1" t="s">
        <v>20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21</v>
      </c>
      <c r="B2">
        <v>3.3</v>
      </c>
      <c r="C2">
        <v>4.8563008130081302</v>
      </c>
      <c r="D2">
        <v>492</v>
      </c>
      <c r="E2">
        <v>0</v>
      </c>
      <c r="F2">
        <v>34</v>
      </c>
    </row>
    <row r="3" spans="1:6" x14ac:dyDescent="0.45">
      <c r="A3" t="s">
        <v>22</v>
      </c>
      <c r="B3">
        <v>3.7</v>
      </c>
      <c r="C3">
        <v>4.9906605922551259</v>
      </c>
      <c r="D3">
        <v>439</v>
      </c>
      <c r="E3">
        <v>0</v>
      </c>
      <c r="F3">
        <v>30.2</v>
      </c>
    </row>
    <row r="4" spans="1:6" x14ac:dyDescent="0.45">
      <c r="A4" t="s">
        <v>23</v>
      </c>
      <c r="B4">
        <v>3.7</v>
      </c>
      <c r="C4">
        <v>4.38768115942029</v>
      </c>
      <c r="D4">
        <v>69</v>
      </c>
      <c r="E4">
        <v>0</v>
      </c>
      <c r="F4">
        <v>19.899999999999999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"/>
  <sheetViews>
    <sheetView workbookViewId="0">
      <selection activeCell="F39" sqref="F39"/>
    </sheetView>
  </sheetViews>
  <sheetFormatPr defaultRowHeight="14.25" x14ac:dyDescent="0.45"/>
  <sheetData>
    <row r="1" spans="1:6" x14ac:dyDescent="0.45">
      <c r="A1" s="1" t="s">
        <v>20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21</v>
      </c>
      <c r="B2">
        <v>124</v>
      </c>
      <c r="C2">
        <v>123.73780487804881</v>
      </c>
      <c r="D2">
        <v>492</v>
      </c>
      <c r="E2">
        <v>70</v>
      </c>
      <c r="F2">
        <v>204</v>
      </c>
    </row>
    <row r="3" spans="1:6" x14ac:dyDescent="0.45">
      <c r="A3" t="s">
        <v>22</v>
      </c>
      <c r="B3">
        <v>124</v>
      </c>
      <c r="C3">
        <v>125.1662870159453</v>
      </c>
      <c r="D3">
        <v>439</v>
      </c>
      <c r="E3">
        <v>73</v>
      </c>
      <c r="F3">
        <v>190</v>
      </c>
    </row>
    <row r="4" spans="1:6" x14ac:dyDescent="0.45">
      <c r="A4" t="s">
        <v>23</v>
      </c>
      <c r="B4">
        <v>128</v>
      </c>
      <c r="C4">
        <v>129.05797101449281</v>
      </c>
      <c r="D4">
        <v>69</v>
      </c>
      <c r="E4">
        <v>85</v>
      </c>
      <c r="F4">
        <v>169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"/>
  <sheetViews>
    <sheetView workbookViewId="0"/>
  </sheetViews>
  <sheetFormatPr defaultRowHeight="14.25" x14ac:dyDescent="0.45"/>
  <cols>
    <col min="1" max="1" width="10.1328125" customWidth="1"/>
  </cols>
  <sheetData>
    <row r="1" spans="1:6" x14ac:dyDescent="0.45">
      <c r="A1" s="1" t="s">
        <v>30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</v>
      </c>
      <c r="B2">
        <v>39</v>
      </c>
      <c r="C2">
        <v>39.584269662921351</v>
      </c>
      <c r="D2">
        <v>89</v>
      </c>
      <c r="E2">
        <v>1</v>
      </c>
      <c r="F2">
        <v>89</v>
      </c>
    </row>
    <row r="3" spans="1:6" x14ac:dyDescent="0.45">
      <c r="A3" t="s">
        <v>2</v>
      </c>
      <c r="B3">
        <v>44</v>
      </c>
      <c r="C3">
        <v>43.027777777777779</v>
      </c>
      <c r="D3">
        <v>684</v>
      </c>
      <c r="E3">
        <v>1</v>
      </c>
      <c r="F3">
        <v>89</v>
      </c>
    </row>
    <row r="4" spans="1:6" x14ac:dyDescent="0.45">
      <c r="A4" t="s">
        <v>3</v>
      </c>
      <c r="B4">
        <v>49</v>
      </c>
      <c r="C4">
        <v>47.705263157894727</v>
      </c>
      <c r="D4">
        <v>95</v>
      </c>
      <c r="E4">
        <v>3</v>
      </c>
      <c r="F4">
        <v>89</v>
      </c>
    </row>
    <row r="5" spans="1:6" x14ac:dyDescent="0.45">
      <c r="A5" t="s">
        <v>4</v>
      </c>
      <c r="B5">
        <v>44</v>
      </c>
      <c r="C5">
        <v>44.863636363636367</v>
      </c>
      <c r="D5">
        <v>132</v>
      </c>
      <c r="E5">
        <v>2</v>
      </c>
      <c r="F5">
        <v>89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5"/>
  <sheetViews>
    <sheetView workbookViewId="0">
      <selection sqref="A1:F5"/>
    </sheetView>
  </sheetViews>
  <sheetFormatPr defaultRowHeight="14.25" x14ac:dyDescent="0.45"/>
  <cols>
    <col min="1" max="1" width="10.1328125" customWidth="1"/>
  </cols>
  <sheetData>
    <row r="1" spans="1:6" x14ac:dyDescent="0.45">
      <c r="A1" s="1" t="s">
        <v>30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</v>
      </c>
      <c r="B2">
        <v>11.3</v>
      </c>
      <c r="C2">
        <v>11.1752808988764</v>
      </c>
      <c r="D2">
        <v>89</v>
      </c>
      <c r="E2">
        <v>3.6</v>
      </c>
      <c r="F2">
        <v>16.5</v>
      </c>
    </row>
    <row r="3" spans="1:6" x14ac:dyDescent="0.45">
      <c r="A3" t="s">
        <v>2</v>
      </c>
      <c r="B3">
        <v>11.4</v>
      </c>
      <c r="C3">
        <v>11.2500730994152</v>
      </c>
      <c r="D3">
        <v>684</v>
      </c>
      <c r="E3">
        <v>3.6</v>
      </c>
      <c r="F3">
        <v>19.399999999999999</v>
      </c>
    </row>
    <row r="4" spans="1:6" x14ac:dyDescent="0.45">
      <c r="A4" t="s">
        <v>3</v>
      </c>
      <c r="B4">
        <v>11.6</v>
      </c>
      <c r="C4">
        <v>11.76368421052632</v>
      </c>
      <c r="D4">
        <v>95</v>
      </c>
      <c r="E4">
        <v>4.2</v>
      </c>
      <c r="F4">
        <v>18.5</v>
      </c>
    </row>
    <row r="5" spans="1:6" x14ac:dyDescent="0.45">
      <c r="A5" t="s">
        <v>4</v>
      </c>
      <c r="B5">
        <v>11.5</v>
      </c>
      <c r="C5">
        <v>11.66401515151515</v>
      </c>
      <c r="D5">
        <v>132</v>
      </c>
      <c r="E5">
        <v>6</v>
      </c>
      <c r="F5">
        <v>16.7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"/>
  <sheetViews>
    <sheetView workbookViewId="0">
      <selection sqref="A1:F5"/>
    </sheetView>
  </sheetViews>
  <sheetFormatPr defaultRowHeight="14.25" x14ac:dyDescent="0.45"/>
  <cols>
    <col min="1" max="1" width="10.1328125" customWidth="1"/>
  </cols>
  <sheetData>
    <row r="1" spans="1:6" x14ac:dyDescent="0.45">
      <c r="A1" s="1" t="s">
        <v>30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</v>
      </c>
      <c r="B2">
        <v>2.8</v>
      </c>
      <c r="C2">
        <v>4.8483146067415728</v>
      </c>
      <c r="D2">
        <v>89</v>
      </c>
      <c r="E2">
        <v>0.1</v>
      </c>
      <c r="F2">
        <v>19.899999999999999</v>
      </c>
    </row>
    <row r="3" spans="1:6" x14ac:dyDescent="0.45">
      <c r="A3" t="s">
        <v>2</v>
      </c>
      <c r="B3">
        <v>3.4</v>
      </c>
      <c r="C3">
        <v>4.874707602339182</v>
      </c>
      <c r="D3">
        <v>684</v>
      </c>
      <c r="E3">
        <v>0</v>
      </c>
      <c r="F3">
        <v>34</v>
      </c>
    </row>
    <row r="4" spans="1:6" x14ac:dyDescent="0.45">
      <c r="A4" t="s">
        <v>3</v>
      </c>
      <c r="B4">
        <v>4.0999999999999996</v>
      </c>
      <c r="C4">
        <v>5.1789473684210527</v>
      </c>
      <c r="D4">
        <v>95</v>
      </c>
      <c r="E4">
        <v>0.1</v>
      </c>
      <c r="F4">
        <v>29.4</v>
      </c>
    </row>
    <row r="5" spans="1:6" x14ac:dyDescent="0.45">
      <c r="A5" t="s">
        <v>4</v>
      </c>
      <c r="B5">
        <v>3.95</v>
      </c>
      <c r="C5">
        <v>4.7359848484848479</v>
      </c>
      <c r="D5">
        <v>132</v>
      </c>
      <c r="E5">
        <v>0</v>
      </c>
      <c r="F5">
        <v>18.100000000000001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"/>
  <sheetViews>
    <sheetView workbookViewId="0">
      <selection sqref="A1:F5"/>
    </sheetView>
  </sheetViews>
  <sheetFormatPr defaultRowHeight="14.25" x14ac:dyDescent="0.45"/>
  <cols>
    <col min="1" max="1" width="10.1328125" customWidth="1"/>
  </cols>
  <sheetData>
    <row r="1" spans="1:6" x14ac:dyDescent="0.45">
      <c r="A1" s="1" t="s">
        <v>30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</v>
      </c>
      <c r="B2">
        <v>126</v>
      </c>
      <c r="C2">
        <v>127.438202247191</v>
      </c>
      <c r="D2">
        <v>89</v>
      </c>
      <c r="E2">
        <v>70</v>
      </c>
      <c r="F2">
        <v>204</v>
      </c>
    </row>
    <row r="3" spans="1:6" x14ac:dyDescent="0.45">
      <c r="A3" t="s">
        <v>2</v>
      </c>
      <c r="B3">
        <v>124</v>
      </c>
      <c r="C3">
        <v>123.6622807017544</v>
      </c>
      <c r="D3">
        <v>684</v>
      </c>
      <c r="E3">
        <v>75</v>
      </c>
      <c r="F3">
        <v>190</v>
      </c>
    </row>
    <row r="4" spans="1:6" x14ac:dyDescent="0.45">
      <c r="A4" t="s">
        <v>3</v>
      </c>
      <c r="B4">
        <v>124</v>
      </c>
      <c r="C4">
        <v>126.0526315789474</v>
      </c>
      <c r="D4">
        <v>95</v>
      </c>
      <c r="E4">
        <v>74</v>
      </c>
      <c r="F4">
        <v>169</v>
      </c>
    </row>
    <row r="5" spans="1:6" x14ac:dyDescent="0.45">
      <c r="A5" t="s">
        <v>4</v>
      </c>
      <c r="B5">
        <v>125</v>
      </c>
      <c r="C5">
        <v>127.5</v>
      </c>
      <c r="D5">
        <v>132</v>
      </c>
      <c r="E5">
        <v>73</v>
      </c>
      <c r="F5">
        <v>182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9"/>
  <sheetViews>
    <sheetView workbookViewId="0">
      <selection sqref="A1:E9"/>
    </sheetView>
  </sheetViews>
  <sheetFormatPr defaultRowHeight="14.25" x14ac:dyDescent="0.45"/>
  <cols>
    <col min="1" max="1" width="10.1328125" customWidth="1"/>
    <col min="3" max="3" width="15.06640625" customWidth="1"/>
    <col min="4" max="4" width="12" customWidth="1"/>
    <col min="5" max="5" width="10" customWidth="1"/>
  </cols>
  <sheetData>
    <row r="1" spans="1:5" x14ac:dyDescent="0.45">
      <c r="A1" s="2" t="s">
        <v>39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45">
      <c r="A2" t="s">
        <v>27</v>
      </c>
      <c r="B2">
        <v>1000</v>
      </c>
      <c r="C2">
        <v>1000</v>
      </c>
      <c r="D2">
        <v>1000</v>
      </c>
      <c r="E2">
        <v>1000</v>
      </c>
    </row>
    <row r="3" spans="1:5" x14ac:dyDescent="0.45">
      <c r="A3" t="s">
        <v>26</v>
      </c>
      <c r="B3">
        <v>43.408000000000001</v>
      </c>
      <c r="C3">
        <v>4.8829500000000001</v>
      </c>
      <c r="D3">
        <v>124.732</v>
      </c>
      <c r="E3">
        <v>11.34685</v>
      </c>
    </row>
    <row r="4" spans="1:5" x14ac:dyDescent="0.45">
      <c r="A4" t="s">
        <v>35</v>
      </c>
      <c r="B4">
        <v>25.314232090000001</v>
      </c>
      <c r="C4">
        <v>4.7490799700000004</v>
      </c>
      <c r="D4">
        <v>19.663642459999998</v>
      </c>
      <c r="E4">
        <v>2.3679230640000002</v>
      </c>
    </row>
    <row r="5" spans="1:5" x14ac:dyDescent="0.45">
      <c r="A5" t="s">
        <v>28</v>
      </c>
      <c r="B5">
        <v>1</v>
      </c>
      <c r="C5">
        <v>0</v>
      </c>
      <c r="D5">
        <v>70</v>
      </c>
      <c r="E5">
        <v>3.6</v>
      </c>
    </row>
    <row r="6" spans="1:5" x14ac:dyDescent="0.45">
      <c r="A6" t="s">
        <v>36</v>
      </c>
      <c r="B6">
        <v>22</v>
      </c>
      <c r="C6">
        <v>1.5</v>
      </c>
      <c r="D6">
        <v>112</v>
      </c>
      <c r="E6">
        <v>10</v>
      </c>
    </row>
    <row r="7" spans="1:5" x14ac:dyDescent="0.45">
      <c r="A7" t="s">
        <v>37</v>
      </c>
      <c r="B7">
        <v>44</v>
      </c>
      <c r="C7">
        <v>3.5</v>
      </c>
      <c r="D7">
        <v>124</v>
      </c>
      <c r="E7">
        <v>11.5</v>
      </c>
    </row>
    <row r="8" spans="1:5" x14ac:dyDescent="0.45">
      <c r="A8" t="s">
        <v>38</v>
      </c>
      <c r="B8">
        <v>63</v>
      </c>
      <c r="C8">
        <v>6.7</v>
      </c>
      <c r="D8">
        <v>137</v>
      </c>
      <c r="E8">
        <v>12.8</v>
      </c>
    </row>
    <row r="9" spans="1:5" x14ac:dyDescent="0.45">
      <c r="A9" t="s">
        <v>29</v>
      </c>
      <c r="B9">
        <v>89</v>
      </c>
      <c r="C9">
        <v>34</v>
      </c>
      <c r="D9">
        <v>204</v>
      </c>
      <c r="E9">
        <v>19.399999999999999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6"/>
  <sheetViews>
    <sheetView workbookViewId="0">
      <selection sqref="A1:F6"/>
    </sheetView>
  </sheetViews>
  <sheetFormatPr defaultRowHeight="14.25" x14ac:dyDescent="0.45"/>
  <sheetData>
    <row r="1" spans="1:6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15</v>
      </c>
      <c r="B2">
        <v>44</v>
      </c>
      <c r="C2">
        <v>43.934010152284273</v>
      </c>
      <c r="D2">
        <v>197</v>
      </c>
      <c r="E2">
        <v>1</v>
      </c>
      <c r="F2">
        <v>89</v>
      </c>
    </row>
    <row r="3" spans="1:6" x14ac:dyDescent="0.45">
      <c r="A3" t="s">
        <v>16</v>
      </c>
      <c r="B3">
        <v>44.5</v>
      </c>
      <c r="C3">
        <v>44.032258064516128</v>
      </c>
      <c r="D3">
        <v>186</v>
      </c>
      <c r="E3">
        <v>1</v>
      </c>
      <c r="F3">
        <v>89</v>
      </c>
    </row>
    <row r="4" spans="1:6" x14ac:dyDescent="0.45">
      <c r="A4" t="s">
        <v>17</v>
      </c>
      <c r="B4">
        <v>44</v>
      </c>
      <c r="C4">
        <v>42.507317073170732</v>
      </c>
      <c r="D4">
        <v>205</v>
      </c>
      <c r="E4">
        <v>1</v>
      </c>
      <c r="F4">
        <v>89</v>
      </c>
    </row>
    <row r="5" spans="1:6" x14ac:dyDescent="0.45">
      <c r="A5" t="s">
        <v>18</v>
      </c>
      <c r="B5">
        <v>44</v>
      </c>
      <c r="C5">
        <v>43.556701030927833</v>
      </c>
      <c r="D5">
        <v>194</v>
      </c>
      <c r="E5">
        <v>1</v>
      </c>
      <c r="F5">
        <v>89</v>
      </c>
    </row>
    <row r="6" spans="1:6" x14ac:dyDescent="0.45">
      <c r="A6" t="s">
        <v>19</v>
      </c>
      <c r="B6">
        <v>44</v>
      </c>
      <c r="C6">
        <v>43.11467889908257</v>
      </c>
      <c r="D6">
        <v>218</v>
      </c>
      <c r="E6">
        <v>1</v>
      </c>
      <c r="F6">
        <v>89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6"/>
  <sheetViews>
    <sheetView workbookViewId="0">
      <selection sqref="A1:F6"/>
    </sheetView>
  </sheetViews>
  <sheetFormatPr defaultRowHeight="14.25" x14ac:dyDescent="0.45"/>
  <sheetData>
    <row r="1" spans="1:6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15</v>
      </c>
      <c r="B2">
        <v>11.3</v>
      </c>
      <c r="C2">
        <v>11.524365482233501</v>
      </c>
      <c r="D2">
        <v>197</v>
      </c>
      <c r="E2">
        <v>4.4000000000000004</v>
      </c>
      <c r="F2">
        <v>19.399999999999999</v>
      </c>
    </row>
    <row r="3" spans="1:6" x14ac:dyDescent="0.45">
      <c r="A3" t="s">
        <v>16</v>
      </c>
      <c r="B3">
        <v>11.4</v>
      </c>
      <c r="C3">
        <v>11.33279569892473</v>
      </c>
      <c r="D3">
        <v>186</v>
      </c>
      <c r="E3">
        <v>4.2</v>
      </c>
      <c r="F3">
        <v>16.7</v>
      </c>
    </row>
    <row r="4" spans="1:6" x14ac:dyDescent="0.45">
      <c r="A4" t="s">
        <v>17</v>
      </c>
      <c r="B4">
        <v>11.4</v>
      </c>
      <c r="C4">
        <v>11.078292682926829</v>
      </c>
      <c r="D4">
        <v>205</v>
      </c>
      <c r="E4">
        <v>3.6</v>
      </c>
      <c r="F4">
        <v>16.7</v>
      </c>
    </row>
    <row r="5" spans="1:6" x14ac:dyDescent="0.45">
      <c r="A5" t="s">
        <v>18</v>
      </c>
      <c r="B5">
        <v>11.5</v>
      </c>
      <c r="C5">
        <v>11.43247422680412</v>
      </c>
      <c r="D5">
        <v>194</v>
      </c>
      <c r="E5">
        <v>4</v>
      </c>
      <c r="F5">
        <v>17.5</v>
      </c>
    </row>
    <row r="6" spans="1:6" x14ac:dyDescent="0.45">
      <c r="A6" t="s">
        <v>19</v>
      </c>
      <c r="B6">
        <v>11.5</v>
      </c>
      <c r="C6">
        <v>11.37477064220184</v>
      </c>
      <c r="D6">
        <v>218</v>
      </c>
      <c r="E6">
        <v>4.4000000000000004</v>
      </c>
      <c r="F6">
        <v>17.399999999999999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6"/>
  <sheetViews>
    <sheetView workbookViewId="0">
      <selection sqref="A1:F6"/>
    </sheetView>
  </sheetViews>
  <sheetFormatPr defaultRowHeight="14.25" x14ac:dyDescent="0.45"/>
  <sheetData>
    <row r="1" spans="1:6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15</v>
      </c>
      <c r="B2">
        <v>3.7</v>
      </c>
      <c r="C2">
        <v>5.3390862944162434</v>
      </c>
      <c r="D2">
        <v>197</v>
      </c>
      <c r="E2">
        <v>0</v>
      </c>
      <c r="F2">
        <v>30.2</v>
      </c>
    </row>
    <row r="3" spans="1:6" x14ac:dyDescent="0.45">
      <c r="A3" t="s">
        <v>16</v>
      </c>
      <c r="B3">
        <v>3.15</v>
      </c>
      <c r="C3">
        <v>4.7784946236559138</v>
      </c>
      <c r="D3">
        <v>186</v>
      </c>
      <c r="E3">
        <v>0</v>
      </c>
      <c r="F3">
        <v>25</v>
      </c>
    </row>
    <row r="4" spans="1:6" x14ac:dyDescent="0.45">
      <c r="A4" t="s">
        <v>17</v>
      </c>
      <c r="B4">
        <v>3.9</v>
      </c>
      <c r="C4">
        <v>4.8414634146341466</v>
      </c>
      <c r="D4">
        <v>205</v>
      </c>
      <c r="E4">
        <v>0</v>
      </c>
      <c r="F4">
        <v>27.2</v>
      </c>
    </row>
    <row r="5" spans="1:6" x14ac:dyDescent="0.45">
      <c r="A5" t="s">
        <v>18</v>
      </c>
      <c r="B5">
        <v>3.7</v>
      </c>
      <c r="C5">
        <v>4.9270618556701029</v>
      </c>
      <c r="D5">
        <v>194</v>
      </c>
      <c r="E5">
        <v>0</v>
      </c>
      <c r="F5">
        <v>29.4</v>
      </c>
    </row>
    <row r="6" spans="1:6" x14ac:dyDescent="0.45">
      <c r="A6" t="s">
        <v>19</v>
      </c>
      <c r="B6">
        <v>3.05</v>
      </c>
      <c r="C6">
        <v>4.5596330275229358</v>
      </c>
      <c r="D6">
        <v>218</v>
      </c>
      <c r="E6">
        <v>0</v>
      </c>
      <c r="F6">
        <v>34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6"/>
  <sheetViews>
    <sheetView workbookViewId="0">
      <selection sqref="A1:F6"/>
    </sheetView>
  </sheetViews>
  <sheetFormatPr defaultRowHeight="14.25" x14ac:dyDescent="0.45"/>
  <sheetData>
    <row r="1" spans="1:6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45">
      <c r="A2" t="s">
        <v>15</v>
      </c>
      <c r="B2">
        <v>124</v>
      </c>
      <c r="C2">
        <v>123.5837563451777</v>
      </c>
      <c r="D2">
        <v>197</v>
      </c>
      <c r="E2">
        <v>75</v>
      </c>
      <c r="F2">
        <v>204</v>
      </c>
    </row>
    <row r="3" spans="1:6" x14ac:dyDescent="0.45">
      <c r="A3" t="s">
        <v>16</v>
      </c>
      <c r="B3">
        <v>124</v>
      </c>
      <c r="C3">
        <v>125.8924731182796</v>
      </c>
      <c r="D3">
        <v>186</v>
      </c>
      <c r="E3">
        <v>70</v>
      </c>
      <c r="F3">
        <v>182</v>
      </c>
    </row>
    <row r="4" spans="1:6" x14ac:dyDescent="0.45">
      <c r="A4" t="s">
        <v>17</v>
      </c>
      <c r="B4">
        <v>124</v>
      </c>
      <c r="C4">
        <v>124.590243902439</v>
      </c>
      <c r="D4">
        <v>205</v>
      </c>
      <c r="E4">
        <v>73</v>
      </c>
      <c r="F4">
        <v>173</v>
      </c>
    </row>
    <row r="5" spans="1:6" x14ac:dyDescent="0.45">
      <c r="A5" t="s">
        <v>18</v>
      </c>
      <c r="B5">
        <v>124</v>
      </c>
      <c r="C5">
        <v>125.6958762886598</v>
      </c>
      <c r="D5">
        <v>194</v>
      </c>
      <c r="E5">
        <v>80</v>
      </c>
      <c r="F5">
        <v>190</v>
      </c>
    </row>
    <row r="6" spans="1:6" x14ac:dyDescent="0.45">
      <c r="A6" t="s">
        <v>19</v>
      </c>
      <c r="B6">
        <v>124</v>
      </c>
      <c r="C6">
        <v>124.0550458715596</v>
      </c>
      <c r="D6">
        <v>218</v>
      </c>
      <c r="E6">
        <v>79</v>
      </c>
      <c r="F6">
        <v>169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crosstab_diagnosis_vs_outcome_c</vt:lpstr>
      <vt:lpstr>crosstab_diagnosis_vs_outcome_p</vt:lpstr>
      <vt:lpstr>crosstab_diagnosis_vs_ward_coun</vt:lpstr>
      <vt:lpstr>crosstab_diagnosis_vs_ward_prop</vt:lpstr>
      <vt:lpstr>crosstab_gender_vs_diagnosis_co</vt:lpstr>
      <vt:lpstr>crosstab_gender_vs_diagnosis_pr</vt:lpstr>
      <vt:lpstr>crosstab_gender_vs_outcome_coun</vt:lpstr>
      <vt:lpstr>crosstab_gender_vs_outcome_prop</vt:lpstr>
      <vt:lpstr>crosstab_gender_vs_ward_counts</vt:lpstr>
      <vt:lpstr>crosstab_gender_vs_ward_props</vt:lpstr>
      <vt:lpstr>crosstab_ward_vs_outcome_counts</vt:lpstr>
      <vt:lpstr>crosstab_ward_vs_outcome_props</vt:lpstr>
      <vt:lpstr>diagnosis_vs_age_aggregate_data</vt:lpstr>
      <vt:lpstr>diagnosis_vs_hb_level_aggregate</vt:lpstr>
      <vt:lpstr>diagnosis_vs_length_of_stay_agg</vt:lpstr>
      <vt:lpstr>diagnosis_vs_systolic_bp_aggreg</vt:lpstr>
      <vt:lpstr>gender_vs_age_aggregate_data</vt:lpstr>
      <vt:lpstr>gender_vs_hb_level_aggregate_da</vt:lpstr>
      <vt:lpstr>gender_vs_length_of_stay_aggreg</vt:lpstr>
      <vt:lpstr>gender_vs_systolic_bp_aggregate</vt:lpstr>
      <vt:lpstr>outcome_vs_age_aggregate_data</vt:lpstr>
      <vt:lpstr>outcome_vs_hb_level_aggregate_d</vt:lpstr>
      <vt:lpstr>outcome_vs_length_of_stay_aggre</vt:lpstr>
      <vt:lpstr>outcome_vs_systolic_bp_aggregat</vt:lpstr>
      <vt:lpstr>Summary_univariate_variables</vt:lpstr>
      <vt:lpstr>ward_vs_age_aggregate_data</vt:lpstr>
      <vt:lpstr>ward_vs_hb_level_aggregate_data</vt:lpstr>
      <vt:lpstr>ward_vs_length_of_stay_aggregat</vt:lpstr>
      <vt:lpstr>ward_vs_systolic_bp_aggregate_d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Macharia</cp:lastModifiedBy>
  <dcterms:created xsi:type="dcterms:W3CDTF">2026-03-12T10:01:57Z</dcterms:created>
  <dcterms:modified xsi:type="dcterms:W3CDTF">2026-03-12T11:15:15Z</dcterms:modified>
</cp:coreProperties>
</file>